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hidePivotFieldList="1"/>
  <mc:AlternateContent xmlns:mc="http://schemas.openxmlformats.org/markup-compatibility/2006">
    <mc:Choice Requires="x15">
      <x15ac:absPath xmlns:x15ac="http://schemas.microsoft.com/office/spreadsheetml/2010/11/ac" url="C:\Users\cost Accountant\Downloads\"/>
    </mc:Choice>
  </mc:AlternateContent>
  <xr:revisionPtr revIDLastSave="0" documentId="13_ncr:1_{813831F9-46EE-4589-A926-077CC9DDB0F6}" xr6:coauthVersionLast="47" xr6:coauthVersionMax="47" xr10:uidLastSave="{00000000-0000-0000-0000-000000000000}"/>
  <bookViews>
    <workbookView xWindow="-120" yWindow="-120" windowWidth="29040" windowHeight="15840" activeTab="3" xr2:uid="{00000000-000D-0000-FFFF-FFFF00000000}"/>
  </bookViews>
  <sheets>
    <sheet name="الارشادات" sheetId="3" r:id="rId1"/>
    <sheet name="البيانات" sheetId="1" r:id="rId2"/>
    <sheet name="Sheet1" sheetId="4" r:id="rId3"/>
    <sheet name="Dashboard" sheetId="6" r:id="rId4"/>
  </sheets>
  <definedNames>
    <definedName name="_xlnm._FilterDatabase" localSheetId="1" hidden="1">البيانات!$A$1:$Z$88</definedName>
    <definedName name="Slicer_الحالة">#N/A</definedName>
    <definedName name="Slicer_المحافظة">#N/A</definedName>
    <definedName name="Slicer_المنتج">#N/A</definedName>
    <definedName name="Slicer_منصة_البيع">#N/A</definedName>
    <definedName name="Slicer_نوع_العميل">#N/A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F18" i="4" l="1"/>
  <c r="S23" i="4"/>
  <c r="O18" i="4"/>
  <c r="T23" i="4"/>
  <c r="P18" i="4"/>
  <c r="W5" i="1" l="1"/>
  <c r="W7" i="1"/>
  <c r="W8" i="1"/>
  <c r="W9" i="1"/>
  <c r="W10" i="1"/>
  <c r="W11" i="1"/>
  <c r="W12" i="1"/>
  <c r="W13" i="1"/>
  <c r="W14" i="1"/>
  <c r="W16" i="1"/>
  <c r="W17" i="1"/>
  <c r="W18" i="1"/>
  <c r="W20" i="1"/>
  <c r="W21" i="1"/>
  <c r="W22" i="1"/>
  <c r="W23" i="1"/>
  <c r="W24" i="1"/>
  <c r="W26" i="1"/>
  <c r="W27" i="1"/>
  <c r="W28" i="1"/>
  <c r="W29" i="1"/>
  <c r="W30" i="1"/>
  <c r="W31" i="1"/>
  <c r="W32" i="1"/>
  <c r="W34" i="1"/>
  <c r="W38" i="1"/>
  <c r="W39" i="1"/>
  <c r="W40" i="1"/>
  <c r="W42" i="1"/>
  <c r="W43" i="1"/>
  <c r="W44" i="1"/>
  <c r="W45" i="1"/>
  <c r="W46" i="1"/>
  <c r="W47" i="1"/>
  <c r="W49" i="1"/>
  <c r="W50" i="1"/>
  <c r="W51" i="1"/>
  <c r="W52" i="1"/>
  <c r="W53" i="1"/>
  <c r="W54" i="1"/>
  <c r="W55" i="1"/>
  <c r="W58" i="1"/>
  <c r="W59" i="1"/>
  <c r="W60" i="1"/>
  <c r="W61" i="1"/>
  <c r="W63" i="1"/>
  <c r="W64" i="1"/>
  <c r="W65" i="1"/>
  <c r="W70" i="1"/>
  <c r="W71" i="1"/>
  <c r="W72" i="1"/>
  <c r="W73" i="1"/>
  <c r="W75" i="1"/>
  <c r="W77" i="1"/>
  <c r="W78" i="1"/>
  <c r="W79" i="1"/>
  <c r="W80" i="1"/>
  <c r="W81" i="1"/>
  <c r="W82" i="1"/>
  <c r="W84" i="1"/>
  <c r="W85" i="1"/>
  <c r="W86" i="1"/>
  <c r="W87" i="1"/>
  <c r="W88" i="1"/>
  <c r="W89" i="1"/>
  <c r="W90" i="1"/>
  <c r="W91" i="1"/>
  <c r="W92" i="1"/>
  <c r="W94" i="1"/>
  <c r="W95" i="1"/>
  <c r="W97" i="1"/>
  <c r="W98" i="1"/>
  <c r="W99" i="1"/>
  <c r="W100" i="1"/>
  <c r="W101" i="1"/>
  <c r="W102" i="1"/>
  <c r="W103" i="1"/>
  <c r="W104" i="1"/>
  <c r="W105" i="1"/>
  <c r="W106" i="1"/>
  <c r="W107" i="1"/>
  <c r="W108" i="1"/>
  <c r="W109" i="1"/>
  <c r="W110" i="1"/>
  <c r="W112" i="1"/>
  <c r="W113" i="1"/>
  <c r="W114" i="1"/>
  <c r="W115" i="1"/>
  <c r="W116" i="1"/>
  <c r="W122" i="1"/>
  <c r="W123" i="1"/>
  <c r="W124" i="1"/>
  <c r="W125" i="1"/>
  <c r="W126" i="1"/>
  <c r="W127" i="1"/>
  <c r="V5" i="1"/>
  <c r="V6" i="1"/>
  <c r="X6" i="1" s="1"/>
  <c r="V7" i="1"/>
  <c r="V8" i="1"/>
  <c r="V9" i="1"/>
  <c r="V10" i="1"/>
  <c r="V11" i="1"/>
  <c r="V12" i="1"/>
  <c r="V13" i="1"/>
  <c r="V14" i="1"/>
  <c r="V15" i="1"/>
  <c r="X15" i="1" s="1"/>
  <c r="V16" i="1"/>
  <c r="V17" i="1"/>
  <c r="V18" i="1"/>
  <c r="V19" i="1"/>
  <c r="X19" i="1" s="1"/>
  <c r="V20" i="1"/>
  <c r="V21" i="1"/>
  <c r="V22" i="1"/>
  <c r="V23" i="1"/>
  <c r="V24" i="1"/>
  <c r="V25" i="1"/>
  <c r="X25" i="1" s="1"/>
  <c r="V26" i="1"/>
  <c r="V27" i="1"/>
  <c r="V28" i="1"/>
  <c r="V29" i="1"/>
  <c r="V30" i="1"/>
  <c r="V31" i="1"/>
  <c r="V32" i="1"/>
  <c r="V34" i="1"/>
  <c r="V35" i="1"/>
  <c r="V36" i="1"/>
  <c r="X36" i="1" s="1"/>
  <c r="V37" i="1"/>
  <c r="X37" i="1" s="1"/>
  <c r="V38" i="1"/>
  <c r="V39" i="1"/>
  <c r="V40" i="1"/>
  <c r="V41" i="1"/>
  <c r="X41" i="1" s="1"/>
  <c r="V42" i="1"/>
  <c r="V43" i="1"/>
  <c r="V44" i="1"/>
  <c r="V45" i="1"/>
  <c r="V46" i="1"/>
  <c r="V47" i="1"/>
  <c r="V48" i="1"/>
  <c r="X48" i="1" s="1"/>
  <c r="V49" i="1"/>
  <c r="V50" i="1"/>
  <c r="V51" i="1"/>
  <c r="V52" i="1"/>
  <c r="V53" i="1"/>
  <c r="V54" i="1"/>
  <c r="V55" i="1"/>
  <c r="V56" i="1"/>
  <c r="X56" i="1" s="1"/>
  <c r="V57" i="1"/>
  <c r="X57" i="1" s="1"/>
  <c r="V58" i="1"/>
  <c r="V59" i="1"/>
  <c r="V60" i="1"/>
  <c r="V61" i="1"/>
  <c r="V62" i="1"/>
  <c r="X62" i="1" s="1"/>
  <c r="V63" i="1"/>
  <c r="V64" i="1"/>
  <c r="V65" i="1"/>
  <c r="V70" i="1"/>
  <c r="V71" i="1"/>
  <c r="V72" i="1"/>
  <c r="V73" i="1"/>
  <c r="V74" i="1"/>
  <c r="X74" i="1" s="1"/>
  <c r="V75" i="1"/>
  <c r="V76" i="1"/>
  <c r="X76" i="1" s="1"/>
  <c r="V77" i="1"/>
  <c r="V78" i="1"/>
  <c r="V79" i="1"/>
  <c r="V80" i="1"/>
  <c r="V81" i="1"/>
  <c r="V82" i="1"/>
  <c r="V83" i="1"/>
  <c r="X83" i="1" s="1"/>
  <c r="V84" i="1"/>
  <c r="V85" i="1"/>
  <c r="V86" i="1"/>
  <c r="V87" i="1"/>
  <c r="V88" i="1"/>
  <c r="V89" i="1"/>
  <c r="V90" i="1"/>
  <c r="V91" i="1"/>
  <c r="V92" i="1"/>
  <c r="V94" i="1"/>
  <c r="V95" i="1"/>
  <c r="V96" i="1"/>
  <c r="X96" i="1" s="1"/>
  <c r="V97" i="1"/>
  <c r="V98" i="1"/>
  <c r="V99" i="1"/>
  <c r="V100" i="1"/>
  <c r="V101" i="1"/>
  <c r="V103" i="1"/>
  <c r="V104" i="1"/>
  <c r="V105" i="1"/>
  <c r="V106" i="1"/>
  <c r="V107" i="1"/>
  <c r="V108" i="1"/>
  <c r="V109" i="1"/>
  <c r="V110" i="1"/>
  <c r="V111" i="1"/>
  <c r="X111" i="1" s="1"/>
  <c r="V112" i="1"/>
  <c r="V113" i="1"/>
  <c r="V114" i="1"/>
  <c r="V115" i="1"/>
  <c r="V116" i="1"/>
  <c r="V117" i="1"/>
  <c r="X117" i="1" s="1"/>
  <c r="V118" i="1"/>
  <c r="X118" i="1" s="1"/>
  <c r="V119" i="1"/>
  <c r="X119" i="1" s="1"/>
  <c r="V120" i="1"/>
  <c r="X120" i="1" s="1"/>
  <c r="V121" i="1"/>
  <c r="X121" i="1" s="1"/>
  <c r="V122" i="1"/>
  <c r="V123" i="1"/>
  <c r="V124" i="1"/>
  <c r="V125" i="1"/>
  <c r="V126" i="1"/>
  <c r="V127" i="1"/>
  <c r="U35" i="1"/>
  <c r="W35" i="1" s="1"/>
  <c r="T102" i="1"/>
  <c r="V102" i="1" s="1"/>
  <c r="S69" i="1"/>
  <c r="W69" i="1" s="1"/>
  <c r="S67" i="1"/>
  <c r="W67" i="1" s="1"/>
  <c r="S68" i="1"/>
  <c r="W68" i="1" s="1"/>
  <c r="S66" i="1"/>
  <c r="W66" i="1" s="1"/>
  <c r="S33" i="1"/>
  <c r="V33" i="1" s="1"/>
  <c r="X33" i="1" s="1"/>
  <c r="S4" i="1"/>
  <c r="S3" i="1"/>
  <c r="W3" i="1" s="1"/>
  <c r="X3" i="1" s="1"/>
  <c r="S2" i="1"/>
  <c r="W2" i="1" s="1"/>
  <c r="X2" i="1" s="1"/>
  <c r="D2" i="1"/>
  <c r="E2" i="1" s="1"/>
  <c r="D127" i="1"/>
  <c r="D126" i="1"/>
  <c r="E126" i="1" s="1"/>
  <c r="D125" i="1"/>
  <c r="E125" i="1" s="1"/>
  <c r="D124" i="1"/>
  <c r="E124" i="1" s="1"/>
  <c r="D123" i="1"/>
  <c r="E123" i="1" s="1"/>
  <c r="D122" i="1"/>
  <c r="D121" i="1"/>
  <c r="E121" i="1" s="1"/>
  <c r="D120" i="1"/>
  <c r="E120" i="1" s="1"/>
  <c r="D119" i="1"/>
  <c r="E119" i="1" s="1"/>
  <c r="D118" i="1"/>
  <c r="E118" i="1" s="1"/>
  <c r="D117" i="1"/>
  <c r="E117" i="1" s="1"/>
  <c r="D116" i="1"/>
  <c r="E116" i="1" s="1"/>
  <c r="D115" i="1"/>
  <c r="E115" i="1" s="1"/>
  <c r="D114" i="1"/>
  <c r="D113" i="1"/>
  <c r="E113" i="1" s="1"/>
  <c r="D112" i="1"/>
  <c r="E112" i="1" s="1"/>
  <c r="D111" i="1"/>
  <c r="D110" i="1"/>
  <c r="D109" i="1"/>
  <c r="E109" i="1" s="1"/>
  <c r="D108" i="1"/>
  <c r="D107" i="1"/>
  <c r="D106" i="1"/>
  <c r="E106" i="1" s="1"/>
  <c r="D105" i="1"/>
  <c r="E105" i="1" s="1"/>
  <c r="D104" i="1"/>
  <c r="D103" i="1"/>
  <c r="E103" i="1" s="1"/>
  <c r="D102" i="1"/>
  <c r="D101" i="1"/>
  <c r="E101" i="1" s="1"/>
  <c r="D100" i="1"/>
  <c r="D99" i="1"/>
  <c r="E99" i="1" s="1"/>
  <c r="D98" i="1"/>
  <c r="D97" i="1"/>
  <c r="D96" i="1"/>
  <c r="D95" i="1"/>
  <c r="D94" i="1"/>
  <c r="E94" i="1" s="1"/>
  <c r="D93" i="1"/>
  <c r="D92" i="1"/>
  <c r="D91" i="1"/>
  <c r="D90" i="1"/>
  <c r="E90" i="1" s="1"/>
  <c r="D89" i="1"/>
  <c r="E89" i="1" s="1"/>
  <c r="D88" i="1"/>
  <c r="E88" i="1" s="1"/>
  <c r="D87" i="1"/>
  <c r="E87" i="1" s="1"/>
  <c r="D86" i="1"/>
  <c r="D85" i="1"/>
  <c r="D84" i="1"/>
  <c r="D83" i="1"/>
  <c r="E83" i="1" s="1"/>
  <c r="D82" i="1"/>
  <c r="D81" i="1"/>
  <c r="D80" i="1"/>
  <c r="D79" i="1"/>
  <c r="E79" i="1" s="1"/>
  <c r="D78" i="1"/>
  <c r="D77" i="1"/>
  <c r="D76" i="1"/>
  <c r="D75" i="1"/>
  <c r="D74" i="1"/>
  <c r="E74" i="1" s="1"/>
  <c r="D73" i="1"/>
  <c r="E73" i="1" s="1"/>
  <c r="D72" i="1"/>
  <c r="D71" i="1"/>
  <c r="D70" i="1"/>
  <c r="D69" i="1"/>
  <c r="E69" i="1" s="1"/>
  <c r="D68" i="1"/>
  <c r="E68" i="1" s="1"/>
  <c r="D67" i="1"/>
  <c r="D66" i="1"/>
  <c r="E66" i="1" s="1"/>
  <c r="D65" i="1"/>
  <c r="E65" i="1" s="1"/>
  <c r="D64" i="1"/>
  <c r="E64" i="1" s="1"/>
  <c r="D63" i="1"/>
  <c r="E63" i="1" s="1"/>
  <c r="D62" i="1"/>
  <c r="E62" i="1" s="1"/>
  <c r="D61" i="1"/>
  <c r="E61" i="1" s="1"/>
  <c r="D60" i="1"/>
  <c r="E60" i="1" s="1"/>
  <c r="D59" i="1"/>
  <c r="D58" i="1"/>
  <c r="E58" i="1" s="1"/>
  <c r="D57" i="1"/>
  <c r="D56" i="1"/>
  <c r="E56" i="1" s="1"/>
  <c r="D55" i="1"/>
  <c r="E55" i="1" s="1"/>
  <c r="D54" i="1"/>
  <c r="E54" i="1" s="1"/>
  <c r="D53" i="1"/>
  <c r="E53" i="1" s="1"/>
  <c r="D52" i="1"/>
  <c r="E52" i="1" s="1"/>
  <c r="D51" i="1"/>
  <c r="E51" i="1" s="1"/>
  <c r="D50" i="1"/>
  <c r="E50" i="1" s="1"/>
  <c r="D49" i="1"/>
  <c r="E49" i="1" s="1"/>
  <c r="D48" i="1"/>
  <c r="E48" i="1" s="1"/>
  <c r="D47" i="1"/>
  <c r="E47" i="1" s="1"/>
  <c r="D46" i="1"/>
  <c r="E46" i="1" s="1"/>
  <c r="D45" i="1"/>
  <c r="E45" i="1" s="1"/>
  <c r="D44" i="1"/>
  <c r="D43" i="1"/>
  <c r="D42" i="1"/>
  <c r="E42" i="1" s="1"/>
  <c r="D41" i="1"/>
  <c r="E41" i="1" s="1"/>
  <c r="D40" i="1"/>
  <c r="E40" i="1" s="1"/>
  <c r="D39" i="1"/>
  <c r="E39" i="1" s="1"/>
  <c r="D38" i="1"/>
  <c r="E38" i="1" s="1"/>
  <c r="D37" i="1"/>
  <c r="E37" i="1" s="1"/>
  <c r="D36" i="1"/>
  <c r="E36" i="1" s="1"/>
  <c r="D35" i="1"/>
  <c r="E35" i="1" s="1"/>
  <c r="D34" i="1"/>
  <c r="E34" i="1" s="1"/>
  <c r="D33" i="1"/>
  <c r="E33" i="1" s="1"/>
  <c r="D32" i="1"/>
  <c r="D31" i="1"/>
  <c r="D30" i="1"/>
  <c r="D29" i="1"/>
  <c r="E29" i="1" s="1"/>
  <c r="D28" i="1"/>
  <c r="D27" i="1"/>
  <c r="D26" i="1"/>
  <c r="E26" i="1" s="1"/>
  <c r="D25" i="1"/>
  <c r="E25" i="1" s="1"/>
  <c r="D24" i="1"/>
  <c r="D23" i="1"/>
  <c r="D22" i="1"/>
  <c r="D21" i="1"/>
  <c r="D20" i="1"/>
  <c r="D19" i="1"/>
  <c r="E19" i="1" s="1"/>
  <c r="D18" i="1"/>
  <c r="D17" i="1"/>
  <c r="E17" i="1" s="1"/>
  <c r="D16" i="1"/>
  <c r="E16" i="1" s="1"/>
  <c r="D15" i="1"/>
  <c r="E15" i="1" s="1"/>
  <c r="D14" i="1"/>
  <c r="E14" i="1" s="1"/>
  <c r="D13" i="1"/>
  <c r="D12" i="1"/>
  <c r="D11" i="1"/>
  <c r="D10" i="1"/>
  <c r="E10" i="1" s="1"/>
  <c r="D9" i="1"/>
  <c r="E9" i="1" s="1"/>
  <c r="D8" i="1"/>
  <c r="E8" i="1" s="1"/>
  <c r="D7" i="1"/>
  <c r="E7" i="1" s="1"/>
  <c r="D6" i="1"/>
  <c r="E6" i="1" s="1"/>
  <c r="D5" i="1"/>
  <c r="E5" i="1" s="1"/>
  <c r="D4" i="1"/>
  <c r="E4" i="1" s="1"/>
  <c r="D3" i="1"/>
  <c r="E3" i="1" s="1"/>
  <c r="G9" i="4"/>
  <c r="AB13" i="4"/>
  <c r="X55" i="4"/>
  <c r="D9" i="4"/>
  <c r="A9" i="4"/>
  <c r="E97" i="1" l="1"/>
  <c r="E59" i="1"/>
  <c r="E67" i="1"/>
  <c r="E43" i="1"/>
  <c r="E22" i="1"/>
  <c r="E23" i="1"/>
  <c r="E18" i="1"/>
  <c r="E30" i="1"/>
  <c r="E11" i="1"/>
  <c r="E31" i="1"/>
  <c r="E91" i="1"/>
  <c r="E95" i="1"/>
  <c r="E107" i="1"/>
  <c r="E111" i="1"/>
  <c r="E127" i="1"/>
  <c r="E12" i="1"/>
  <c r="E20" i="1"/>
  <c r="E32" i="1"/>
  <c r="E80" i="1"/>
  <c r="E84" i="1"/>
  <c r="E100" i="1"/>
  <c r="E104" i="1"/>
  <c r="E108" i="1"/>
  <c r="E27" i="1"/>
  <c r="E71" i="1"/>
  <c r="E24" i="1"/>
  <c r="E77" i="1"/>
  <c r="E44" i="1"/>
  <c r="E72" i="1"/>
  <c r="E76" i="1"/>
  <c r="E92" i="1"/>
  <c r="E96" i="1"/>
  <c r="E13" i="1"/>
  <c r="E21" i="1"/>
  <c r="E75" i="1"/>
  <c r="E70" i="1"/>
  <c r="E78" i="1"/>
  <c r="E82" i="1"/>
  <c r="E86" i="1"/>
  <c r="E98" i="1"/>
  <c r="E102" i="1"/>
  <c r="E110" i="1"/>
  <c r="E114" i="1"/>
  <c r="E122" i="1"/>
  <c r="E81" i="1"/>
  <c r="E57" i="1"/>
  <c r="E93" i="1"/>
  <c r="E85" i="1"/>
  <c r="E28" i="1"/>
  <c r="X115" i="1"/>
  <c r="X110" i="1"/>
  <c r="X106" i="1"/>
  <c r="X98" i="1"/>
  <c r="X92" i="1"/>
  <c r="X88" i="1"/>
  <c r="X84" i="1"/>
  <c r="X73" i="1"/>
  <c r="X65" i="1"/>
  <c r="X60" i="1"/>
  <c r="X45" i="1"/>
  <c r="X40" i="1"/>
  <c r="X32" i="1"/>
  <c r="X28" i="1"/>
  <c r="X23" i="1"/>
  <c r="X35" i="1"/>
  <c r="X102" i="1"/>
  <c r="X79" i="1"/>
  <c r="X18" i="1"/>
  <c r="X114" i="1"/>
  <c r="X109" i="1"/>
  <c r="X105" i="1"/>
  <c r="X101" i="1"/>
  <c r="X97" i="1"/>
  <c r="X91" i="1"/>
  <c r="X87" i="1"/>
  <c r="X72" i="1"/>
  <c r="X64" i="1"/>
  <c r="X59" i="1"/>
  <c r="X44" i="1"/>
  <c r="X39" i="1"/>
  <c r="X31" i="1"/>
  <c r="X27" i="1"/>
  <c r="X22" i="1"/>
  <c r="X113" i="1"/>
  <c r="X100" i="1"/>
  <c r="X71" i="1"/>
  <c r="X63" i="1"/>
  <c r="X47" i="1"/>
  <c r="X43" i="1"/>
  <c r="X30" i="1"/>
  <c r="X26" i="1"/>
  <c r="X124" i="1"/>
  <c r="X54" i="1"/>
  <c r="X50" i="1"/>
  <c r="X13" i="1"/>
  <c r="X9" i="1"/>
  <c r="X127" i="1"/>
  <c r="X123" i="1"/>
  <c r="X82" i="1"/>
  <c r="X78" i="1"/>
  <c r="X53" i="1"/>
  <c r="X49" i="1"/>
  <c r="X17" i="1"/>
  <c r="X12" i="1"/>
  <c r="X8" i="1"/>
  <c r="X126" i="1"/>
  <c r="X122" i="1"/>
  <c r="X108" i="1"/>
  <c r="X104" i="1"/>
  <c r="X95" i="1"/>
  <c r="X90" i="1"/>
  <c r="X86" i="1"/>
  <c r="X81" i="1"/>
  <c r="X77" i="1"/>
  <c r="X58" i="1"/>
  <c r="X52" i="1"/>
  <c r="X38" i="1"/>
  <c r="X21" i="1"/>
  <c r="X16" i="1"/>
  <c r="X7" i="1"/>
  <c r="X125" i="1"/>
  <c r="X116" i="1"/>
  <c r="X112" i="1"/>
  <c r="X107" i="1"/>
  <c r="X103" i="1"/>
  <c r="X99" i="1"/>
  <c r="X94" i="1"/>
  <c r="X89" i="1"/>
  <c r="X85" i="1"/>
  <c r="X80" i="1"/>
  <c r="X75" i="1"/>
  <c r="X70" i="1"/>
  <c r="X61" i="1"/>
  <c r="X55" i="1"/>
  <c r="X51" i="1"/>
  <c r="X46" i="1"/>
  <c r="X42" i="1"/>
  <c r="X34" i="1"/>
  <c r="X29" i="1"/>
  <c r="X24" i="1"/>
  <c r="X20" i="1"/>
  <c r="X14" i="1"/>
  <c r="X10" i="1"/>
  <c r="X5" i="1"/>
  <c r="V66" i="1"/>
  <c r="X66" i="1" s="1"/>
  <c r="V69" i="1"/>
  <c r="X69" i="1" s="1"/>
  <c r="V68" i="1"/>
  <c r="X68" i="1" s="1"/>
  <c r="V67" i="1"/>
  <c r="X6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E844E3-4B89-44EE-A1DE-BB4F265A0641}"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<sst xmlns="http://schemas.openxmlformats.org/spreadsheetml/2006/main" count="1504" uniqueCount="329">
  <si>
    <t>أسم العميل</t>
  </si>
  <si>
    <t>العنوان</t>
  </si>
  <si>
    <t>المنتج</t>
  </si>
  <si>
    <t>تاريخ التسليم</t>
  </si>
  <si>
    <t>المسئول عن التسليم</t>
  </si>
  <si>
    <t xml:space="preserve">منصة البيع </t>
  </si>
  <si>
    <t>هومزمارت</t>
  </si>
  <si>
    <t xml:space="preserve">سعر البيع </t>
  </si>
  <si>
    <t>ميعاد التسليم</t>
  </si>
  <si>
    <t>ميعاد الطلب</t>
  </si>
  <si>
    <t xml:space="preserve">خالد عبد القوى </t>
  </si>
  <si>
    <t xml:space="preserve">سرير منطبق الحديد ابيض والقماش ابيض </t>
  </si>
  <si>
    <t>مسبق الدفع</t>
  </si>
  <si>
    <t>محمود</t>
  </si>
  <si>
    <t>سموحه - اسكندريه</t>
  </si>
  <si>
    <t xml:space="preserve">سرير منطبق اسود والقماش اسود </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</si>
  <si>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</si>
  <si>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</si>
  <si>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</si>
  <si>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</si>
  <si>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</si>
  <si>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</si>
  <si>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</si>
  <si>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</si>
  <si>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</si>
  <si>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كنبه سرير رمادى </t>
  </si>
  <si>
    <t xml:space="preserve">احمد </t>
  </si>
  <si>
    <t>التجمع الخامس</t>
  </si>
  <si>
    <t xml:space="preserve">فشل التسليم </t>
  </si>
  <si>
    <t>yilmaz</t>
  </si>
  <si>
    <t xml:space="preserve">٦ اكتوبر الجيزه </t>
  </si>
  <si>
    <t xml:space="preserve">سرير فردى ابيض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</si>
  <si>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</si>
  <si>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</si>
  <si>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</si>
  <si>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</si>
  <si>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</si>
  <si>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</si>
  <si>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</si>
  <si>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</si>
  <si>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</si>
  <si>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</si>
  <si>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</si>
  <si>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</si>
  <si>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</si>
  <si>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</si>
  <si>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</si>
  <si>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</si>
  <si>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</si>
  <si>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</si>
  <si>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</si>
  <si>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</si>
  <si>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</si>
  <si>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</si>
  <si>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</si>
  <si>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</si>
  <si>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</si>
  <si>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</si>
  <si>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</si>
  <si>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</si>
  <si>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</si>
  <si>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</si>
  <si>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</si>
  <si>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</si>
  <si>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</si>
  <si>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</si>
  <si>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</si>
  <si>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</si>
  <si>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</si>
  <si>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</si>
  <si>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</si>
  <si>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</si>
  <si>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</si>
  <si>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</si>
  <si>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</si>
  <si>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</si>
  <si>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</si>
  <si>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</si>
  <si>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</si>
  <si>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</si>
  <si>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</si>
  <si>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</si>
  <si>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</si>
  <si>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</si>
  <si>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</si>
  <si>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</si>
  <si>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</si>
  <si>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</si>
  <si>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</si>
  <si>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</si>
  <si>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</si>
  <si>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</si>
  <si>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</si>
  <si>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</si>
  <si>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</si>
  <si>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</si>
  <si>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</si>
  <si>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</si>
  <si>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</si>
  <si>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</si>
  <si>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</si>
  <si>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</si>
  <si>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</si>
  <si>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</si>
  <si>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</si>
  <si>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</si>
  <si>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</si>
  <si>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</si>
  <si>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</si>
  <si>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</si>
  <si>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</si>
  <si>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</si>
  <si>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</si>
  <si>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</si>
  <si>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</si>
  <si>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</si>
  <si>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</si>
  <si>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</si>
  <si>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</si>
  <si>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</si>
  <si>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</si>
  <si>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</si>
  <si>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</si>
  <si>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</si>
  <si>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</si>
  <si>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</si>
  <si>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</si>
  <si>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</si>
  <si>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</si>
  <si>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</si>
  <si>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</si>
  <si>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</si>
  <si>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</si>
  <si>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</si>
  <si>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</si>
  <si>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</si>
  <si>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</si>
  <si>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</si>
  <si>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</si>
  <si>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</si>
  <si>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</si>
  <si>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</si>
  <si>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</si>
  <si>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ركنة</t>
  </si>
  <si>
    <t>سحارة</t>
  </si>
  <si>
    <t>ركنة بسرير</t>
  </si>
  <si>
    <t>كنبة</t>
  </si>
  <si>
    <t>كرسى</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</si>
  <si>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</si>
  <si>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</si>
  <si>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</si>
  <si>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</si>
  <si>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</si>
  <si>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</si>
  <si>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</si>
  <si>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</si>
  <si>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</si>
  <si>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</si>
  <si>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</si>
  <si>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</si>
  <si>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</si>
  <si>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</si>
  <si>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</si>
  <si>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</si>
  <si>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</si>
  <si>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</si>
  <si>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</si>
  <si>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Mohamed Ayman</t>
  </si>
  <si>
    <t>بمكتبة</t>
  </si>
  <si>
    <t>رف سحاب</t>
  </si>
  <si>
    <t>الحالة</t>
  </si>
  <si>
    <t>اسامه</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</si>
  <si>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</si>
  <si>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</si>
  <si>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</si>
  <si>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</si>
  <si>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</si>
  <si>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</si>
  <si>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</si>
  <si>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4×1</t>
  </si>
  <si>
    <t xml:space="preserve">اسود </t>
  </si>
  <si>
    <t>مرتجع</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</si>
  <si>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</si>
  <si>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</si>
  <si>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</si>
  <si>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</si>
  <si>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</si>
  <si>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</si>
  <si>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</si>
  <si>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</si>
  <si>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</si>
  <si>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</si>
  <si>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</si>
  <si>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</si>
  <si>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</si>
  <si>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مخزن شيك هومز</t>
  </si>
  <si>
    <t xml:space="preserve">بترولى </t>
  </si>
  <si>
    <t xml:space="preserve">تم التسليم بمعرفه الحج سيد </t>
  </si>
  <si>
    <t xml:space="preserve">أكتوبر </t>
  </si>
  <si>
    <t>التجمع</t>
  </si>
  <si>
    <t>keira</t>
  </si>
  <si>
    <t xml:space="preserve">نوفال </t>
  </si>
  <si>
    <t>١٤٠/١٠٠</t>
  </si>
  <si>
    <t>بينك</t>
  </si>
  <si>
    <t>tarek</t>
  </si>
  <si>
    <t>reem</t>
  </si>
  <si>
    <t>البطاش اسكندريه</t>
  </si>
  <si>
    <t>١٠٠/١٤٠</t>
  </si>
  <si>
    <t>هشام سامى</t>
  </si>
  <si>
    <t>s03163</t>
  </si>
  <si>
    <t>41 كومبوند جولدن جستس الدور 4 شقه 4</t>
  </si>
  <si>
    <t>بلحه</t>
  </si>
  <si>
    <t>خشب بنى فاتح</t>
  </si>
  <si>
    <t>فانتستيك</t>
  </si>
  <si>
    <t>الوان</t>
  </si>
  <si>
    <t>المعرض مدينه نصر</t>
  </si>
  <si>
    <t>فاطمه محمد</t>
  </si>
  <si>
    <t>أكتوبر الجيزه</t>
  </si>
  <si>
    <t>الشيخ زايد اكتوبر</t>
  </si>
  <si>
    <t xml:space="preserve">محمد شكرى </t>
  </si>
  <si>
    <t>ارينا</t>
  </si>
  <si>
    <t>بترولى</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</si>
  <si>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</si>
  <si>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</si>
  <si>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</si>
  <si>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</si>
  <si>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</si>
  <si>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</si>
  <si>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</si>
  <si>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</si>
  <si>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</si>
  <si>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</si>
  <si>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</si>
  <si>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</si>
  <si>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</si>
  <si>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</si>
  <si>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</si>
  <si>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</si>
  <si>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</si>
  <si>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</si>
  <si>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</si>
  <si>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</si>
  <si>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</si>
  <si>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</si>
  <si>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</si>
  <si>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</si>
  <si>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</si>
  <si>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</si>
  <si>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</si>
  <si>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</si>
  <si>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</si>
  <si>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</si>
  <si>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</si>
  <si>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</si>
  <si>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</si>
  <si>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</si>
  <si>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</si>
  <si>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</si>
  <si>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</si>
  <si>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</si>
  <si>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</si>
  <si>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</si>
  <si>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</si>
  <si>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</si>
  <si>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</si>
  <si>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</si>
  <si>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</si>
  <si>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</si>
  <si>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</si>
  <si>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</si>
  <si>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</si>
  <si>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</si>
  <si>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</si>
  <si>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</si>
  <si>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</si>
  <si>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</si>
  <si>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</si>
  <si>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</si>
  <si>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</si>
  <si>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</si>
  <si>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</si>
  <si>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</si>
  <si>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</si>
  <si>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</si>
  <si>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</si>
  <si>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</si>
  <si>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</si>
  <si>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</si>
  <si>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</si>
  <si>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</si>
  <si>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نوع المنتج</t>
  </si>
  <si>
    <t>نوع العميل</t>
  </si>
  <si>
    <t>وصف المنتج</t>
  </si>
  <si>
    <t>طريقة الدفع</t>
  </si>
  <si>
    <t>كاش</t>
  </si>
  <si>
    <t>مدة التسليم المتوقعة</t>
  </si>
  <si>
    <t>مدة التسليم الفعلية</t>
  </si>
  <si>
    <t>المحافظة</t>
  </si>
  <si>
    <t>مدينة بدر</t>
  </si>
  <si>
    <t>الجيزة</t>
  </si>
  <si>
    <t>الإسكندرية</t>
  </si>
  <si>
    <t>مطروح</t>
  </si>
  <si>
    <t>البحر الأحمر</t>
  </si>
  <si>
    <t>القاهرة</t>
  </si>
  <si>
    <t>القليوبية</t>
  </si>
  <si>
    <t>أسيوط</t>
  </si>
  <si>
    <t>Row Labels</t>
  </si>
  <si>
    <t>Grand Total</t>
  </si>
  <si>
    <t xml:space="preserve">Sum of سعر البيع </t>
  </si>
  <si>
    <t>Count of المنتج</t>
  </si>
  <si>
    <t xml:space="preserve">Average of سعر البيع </t>
  </si>
  <si>
    <t>Count of اللون المعدن</t>
  </si>
  <si>
    <t>(blank)</t>
  </si>
  <si>
    <t>نسبة الطلبات المسلمة في الموعد (On-time Delivery Rate)</t>
  </si>
  <si>
    <t>Ontime Delivery</t>
  </si>
  <si>
    <t>العجوزه  الجيزه</t>
  </si>
  <si>
    <t>Count of Ontime Delivery</t>
  </si>
  <si>
    <t>Count of الحالة</t>
  </si>
  <si>
    <t>Count of المحافظة</t>
  </si>
  <si>
    <t>افراد</t>
  </si>
  <si>
    <t>شركات</t>
  </si>
  <si>
    <t>عدم التكرار</t>
  </si>
  <si>
    <t>Sum of عدم التكرار</t>
  </si>
  <si>
    <t>كمية</t>
  </si>
  <si>
    <t>Sum of كمية</t>
  </si>
  <si>
    <t>المنتج الأكثر مبيعا  (Best  Seller)</t>
  </si>
  <si>
    <t>مرفوض</t>
  </si>
  <si>
    <t>المدينة الأكثر مبيعات (Orders by Area)</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</si>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</sst>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11" x14ac:knownFonts="1">
    <font>
      <sz val="11"/>
      <color theme="1"/>
      <name val="Arial"/>
      <family val="2"/>
      <scheme val="minor"/>
    </font>
    <font>
      <b/>
      <sz val="12"/>
      <color theme="1"/>
      <name val="Arial"/>
      <family val="2"/>
      <scheme val="minor"/>
    </font>
    <font>
      <b/>
      <sz val="11"/>
      <color theme="1"/>
      <name val="Arial"/>
      <family val="2"/>
      <scheme val="minor"/>
    </font>
    <font>
      <b/>
      <sz val="14"/>
      <color theme="4" tint="-0.249977111117893"/>
      <name val="Times New Roman"/>
      <family val="1"/>
    </font>
    <font>
      <b/>
      <sz val="20"/>
      <color rgb="FFFF0000"/>
      <name val="Times New Roman"/>
      <family val="1"/>
    </font>
    <font>
      <b/>
      <sz val="14"/>
      <color theme="1"/>
      <name val="Arial"/>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sz val="11"/>
      <color theme="1"/>
      <name val="Arial"/>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
    <border>
      <left/>
      <right/>
      <top/>
      <bottom/>
      <diagonal/>
    </border>
  </borders>
  <cellStyleXfs count="3">
    <xf numFmtId="0" fontId="0" fillId="0" borderId="0"/>
    <xf numFmtId="43" fontId="10" fillId="0" borderId="0" applyFont="0" applyFill="0" applyBorder="0" applyAlignment="0" applyProtection="0"/>
    <xf numFmtId="9" fontId="10" fillId="0" borderId="0" applyFont="0" applyFill="0" applyBorder="0" applyAlignment="0" applyProtection="0"/>
  </cellStyleXfs>
  <cellXfs count="29">
    <xf numFmtId="0" fontId="0" fillId="0" borderId="0" xfId="0"/>
    <xf numFmtId="0" fontId="0" fillId="0" borderId="0" xfId="0" applyAlignment="1">
      <alignment horizontal="right" vertical="center"/>
    </xf>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horizontal="right" indent="2"/>
    </xf>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center"/>
    </xf>
    <xf numFmtId="1" fontId="0" fillId="0" borderId="0" xfId="0" applyNumberFormat="1"/>
    <xf numFmtId="14" fontId="0" fillId="0" borderId="0" xfId="0" applyNumberFormat="1"/>
    <xf numFmtId="14" fontId="0" fillId="0" borderId="0" xfId="0" applyNumberFormat="1" applyAlignment="1">
      <alignment horizontal="center" vertical="center"/>
    </xf>
    <xf numFmtId="0" fontId="0" fillId="0" borderId="0" xfId="0" pivotButton="1"/>
    <xf numFmtId="0" fontId="0" fillId="0" borderId="0" xfId="0" applyAlignment="1">
      <alignment horizontal="right"/>
    </xf>
    <xf numFmtId="164" fontId="0" fillId="0" borderId="0" xfId="0" applyNumberFormat="1"/>
    <xf numFmtId="164" fontId="0" fillId="0" borderId="0" xfId="1" applyNumberFormat="1" applyFont="1"/>
    <xf numFmtId="0" fontId="0" fillId="2" borderId="0" xfId="0" applyFill="1"/>
    <xf numFmtId="10" fontId="0" fillId="0" borderId="0" xfId="0" applyNumberFormat="1"/>
    <xf numFmtId="9" fontId="0" fillId="0" borderId="0" xfId="0" applyNumberFormat="1"/>
    <xf numFmtId="9" fontId="0" fillId="0" borderId="0" xfId="2" applyFont="1"/>
    <xf numFmtId="0" fontId="0" fillId="2" borderId="0" xfId="0" applyFill="1" applyAlignment="1">
      <alignment horizontal="right"/>
    </xf>
    <xf numFmtId="9" fontId="0" fillId="2" borderId="0" xfId="0" applyNumberFormat="1" applyFill="1"/>
    <xf numFmtId="0" fontId="0" fillId="3" borderId="0" xfId="0" applyFill="1"/>
  </cellXfs>
  <cellStyles count="3">
    <cellStyle name="Comma" xfId="1" builtinId="3"/>
    <cellStyle name="Normal" xfId="0" builtinId="0"/>
    <cellStyle name="Percent" xfId="2" builtinId="5"/>
  </cellStyles>
  <dxfs count="62">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fill>
        <patternFill patternType="solid">
          <bgColor rgb="FFFFFF00"/>
        </patternFill>
      </fill>
    </dxf>
    <dxf>
      <fill>
        <patternFill patternType="solid">
          <bgColor rgb="FFFFFF00"/>
        </patternFill>
      </fill>
    </dxf>
    <dxf>
      <numFmt numFmtId="13" formatCode="0%"/>
    </dxf>
    <dxf>
      <numFmt numFmtId="164" formatCode="_-* #,##0_-;\-* #,##0_-;_-* &quot;-&quot;??_-;_-@_-"/>
    </dxf>
    <dxf>
      <numFmt numFmtId="14" formatCode="0.00%"/>
    </dxf>
    <dxf>
      <fill>
        <patternFill patternType="solid">
          <bgColor rgb="FFFFFF00"/>
        </patternFill>
      </fill>
    </dxf>
    <dxf>
      <numFmt numFmtId="13" formatCode="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fill>
        <patternFill patternType="solid">
          <bgColor rgb="FFFFFF00"/>
        </patternFill>
      </fill>
    </dxf>
    <dxf>
      <fill>
        <patternFill patternType="solid">
          <bgColor rgb="FFFFFF00"/>
        </patternFill>
      </fill>
    </dxf>
    <dxf>
      <numFmt numFmtId="13" formatCode="0%"/>
    </dxf>
    <dxf>
      <numFmt numFmtId="164" formatCode="_-* #,##0_-;\-* #,##0_-;_-* &quot;-&quot;??_-;_-@_-"/>
    </dxf>
    <dxf>
      <numFmt numFmtId="14" formatCode="0.00%"/>
    </dxf>
    <dxf>
      <fill>
        <patternFill patternType="solid">
          <bgColor rgb="FFFFFF00"/>
        </patternFill>
      </fill>
    </dxf>
    <dxf>
      <numFmt numFmtId="13" formatCode="0%"/>
    </dxf>
    <dxf>
      <numFmt numFmtId="164" formatCode="_-* #,##0_-;\-* #,##0_-;_-* &quot;-&quot;??_-;_-@_-"/>
    </dxf>
    <dxf>
      <numFmt numFmtId="164" formatCode="_-* #,##0_-;\-* #,##0_-;_-* &quot;-&quot;??_-;_-@_-"/>
    </dxf>
    <dxf>
      <numFmt numFmtId="164" formatCode="_-* #,##0_-;\-* #,##0_-;_-* &quot;-&quot;??_-;_-@_-"/>
    </dxf>
    <dxf>
      <numFmt numFmtId="164" formatCode="_-* #,##0_-;\-* #,##0_-;_-* &quot;-&quot;??_-;_-@_-"/>
    </dxf>
    <dxf>
      <numFmt numFmtId="13" formatCode="0%"/>
    </dxf>
    <dxf>
      <fill>
        <patternFill patternType="solid">
          <bgColor rgb="FFFFFF00"/>
        </patternFill>
      </fill>
    </dxf>
    <dxf>
      <numFmt numFmtId="14" formatCode="0.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3" formatCode="0%"/>
    </dxf>
    <dxf>
      <fill>
        <patternFill patternType="solid">
          <bgColor rgb="FFFFFF00"/>
        </patternFill>
      </fill>
    </dxf>
    <dxf>
      <fill>
        <patternFill patternType="solid">
          <bgColor rgb="FFFFFF00"/>
        </patternFill>
      </fill>
    </dxf>
    <dxf>
      <numFmt numFmtId="14" formatCode="0.00%"/>
    </dxf>
    <dxf>
      <numFmt numFmtId="164" formatCode="_-* #,##0_-;\-* #,##0_-;_-* &quot;-&quot;??_-;_-@_-"/>
    </dxf>
    <dxf>
      <numFmt numFmtId="164" formatCode="_-* #,##0_-;\-* #,##0_-;_-* &quot;-&quot;??_-;_-@_-"/>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font>
        <b/>
        <i val="0"/>
        <color rgb="FFF2F2F2"/>
      </font>
      <fill>
        <patternFill>
          <bgColor rgb="FF182540"/>
        </patternFill>
      </fill>
    </dxf>
    <dxf>
      <font>
        <b/>
        <i val="0"/>
        <color rgb="FFF2F2F2"/>
      </font>
      <fill>
        <patternFill>
          <bgColor rgb="FF182540"/>
        </patternFill>
      </fill>
    </dxf>
  </dxfs>
  <tableStyles count="2" defaultTableStyle="TableStyleMedium2" defaultPivotStyle="PivotStyleLight16">
    <tableStyle name="Invisible" pivot="0" table="0" count="0" xr9:uid="{AA73528B-8D85-432A-9172-AA70B5E8C669}"/>
    <tableStyle name="Slicer Style 1" pivot="0" table="0" count="10" xr9:uid="{5ADD7EC4-4CB3-4A87-8F44-203AE84EFC45}">
      <tableStyleElement type="wholeTable" dxfId="61"/>
      <tableStyleElement type="headerRow" dxfId="60"/>
    </tableStyle>
  </tableStyles>
  <colors>
    <mruColors>
      <color rgb="FFF2F2F2"/>
      <color rgb="FFF21B2D"/>
      <color rgb="FF590209"/>
      <color rgb="FFA60311"/>
      <color rgb="FF182540"/>
    </mruColors>
  </colors>
  <extLst>
    <ext xmlns:x14="http://schemas.microsoft.com/office/spreadsheetml/2009/9/main" uri="{46F421CA-312F-682f-3DD2-61675219B42D}">
      <x14:dxfs count="8">
        <dxf>
          <font>
            <b/>
            <i val="0"/>
            <color rgb="FFF2F2F2"/>
          </font>
          <fill>
            <patternFill>
              <bgColor rgb="FF590209"/>
            </patternFill>
          </fill>
        </dxf>
        <dxf>
          <font>
            <b/>
            <i val="0"/>
            <color rgb="FFF2F2F2"/>
          </font>
          <fill>
            <patternFill>
              <bgColor rgb="FFF21B2D"/>
            </patternFill>
          </fill>
        </dxf>
        <dxf>
          <font>
            <b/>
            <i val="0"/>
            <color rgb="FFF2F2F2"/>
          </font>
          <fill>
            <patternFill>
              <bgColor rgb="FFA60311"/>
            </patternFill>
          </fill>
        </dxf>
        <dxf>
          <font>
            <b/>
            <i val="0"/>
            <color rgb="FFF2F2F2"/>
          </font>
          <fill>
            <patternFill>
              <bgColor rgb="FFF21B2D"/>
            </patternFill>
          </fill>
        </dxf>
        <dxf>
          <font>
            <b/>
            <i val="0"/>
            <color rgb="FFF2F2F2"/>
          </font>
          <fill>
            <patternFill>
              <bgColor rgb="FF590209"/>
            </patternFill>
          </fill>
        </dxf>
        <dxf>
          <font>
            <b/>
            <i val="0"/>
          </font>
          <fill>
            <patternFill>
              <bgColor rgb="FFA60311"/>
            </patternFill>
          </fill>
        </dxf>
        <dxf>
          <font>
            <b/>
            <i val="0"/>
            <color rgb="FFF2F2F2"/>
          </font>
          <fill>
            <patternFill>
              <bgColor rgb="FFF21B2D"/>
            </patternFill>
          </fill>
        </dxf>
        <dxf>
          <font>
            <b/>
            <i val="0"/>
            <color rgb="FFF2F2F2"/>
          </font>
          <fill>
            <patternFill>
              <bgColor rgb="FFF21B2D"/>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Abdelaziz Usama Mahmoud.xlsx]Sheet1!PivotTable7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F2F2F2"/>
                </a:solidFill>
              </a:rPr>
              <a:t>عدد المنتجات المباعة حسب المنصة </a:t>
            </a:r>
            <a:r>
              <a:rPr lang="en-US" b="1">
                <a:solidFill>
                  <a:srgbClr val="F2F2F2"/>
                </a:solidFill>
              </a:rPr>
              <a:t>Sales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Sheet1!$K$6</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Sheet1!$J$7:$J$15</c:f>
              <c:strCache>
                <c:ptCount val="8"/>
                <c:pt idx="0">
                  <c:v>السويس</c:v>
                </c:pt>
                <c:pt idx="1">
                  <c:v>اوسكار ريتن </c:v>
                </c:pt>
                <c:pt idx="2">
                  <c:v>تاكى</c:v>
                </c:pt>
                <c:pt idx="3">
                  <c:v>شيك هومز</c:v>
                </c:pt>
                <c:pt idx="4">
                  <c:v>فيسبوك</c:v>
                </c:pt>
                <c:pt idx="5">
                  <c:v>كيمت </c:v>
                </c:pt>
                <c:pt idx="6">
                  <c:v>منزلى</c:v>
                </c:pt>
                <c:pt idx="7">
                  <c:v>هومزمارت</c:v>
                </c:pt>
              </c:strCache>
            </c:strRef>
          </c:cat>
          <c:val>
            <c:numRef>
              <c:f>Sheet1!$K$7:$K$15</c:f>
              <c:numCache>
                <c:formatCode>_-* #,##0_-;\-* #,##0_-;_-* "-"??_-;_-@_-</c:formatCode>
                <c:ptCount val="8"/>
                <c:pt idx="0">
                  <c:v>4</c:v>
                </c:pt>
                <c:pt idx="1">
                  <c:v>19</c:v>
                </c:pt>
                <c:pt idx="2">
                  <c:v>13</c:v>
                </c:pt>
                <c:pt idx="3">
                  <c:v>16</c:v>
                </c:pt>
                <c:pt idx="4">
                  <c:v>3</c:v>
                </c:pt>
                <c:pt idx="5">
                  <c:v>1</c:v>
                </c:pt>
                <c:pt idx="6">
                  <c:v>2</c:v>
                </c:pt>
                <c:pt idx="7">
                  <c:v>94</c:v>
                </c:pt>
              </c:numCache>
            </c:numRef>
          </c:val>
          <c:extLst>
            <c:ext xmlns:c16="http://schemas.microsoft.com/office/drawing/2014/chart" uri="{C3380CC4-5D6E-409C-BE32-E72D297353CC}">
              <c16:uniqueId val="{00000000-D4FE-424B-9ADD-6847E3CC2576}"/>
            </c:ext>
          </c:extLst>
        </c:ser>
        <c:dLbls>
          <c:dLblPos val="outEnd"/>
          <c:showLegendKey val="0"/>
          <c:showVal val="1"/>
          <c:showCatName val="0"/>
          <c:showSerName val="0"/>
          <c:showPercent val="0"/>
          <c:showBubbleSize val="0"/>
        </c:dLbls>
        <c:gapWidth val="219"/>
        <c:overlap val="-27"/>
        <c:axId val="837604159"/>
        <c:axId val="837605119"/>
      </c:barChart>
      <c:catAx>
        <c:axId val="83760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ar-EG"/>
          </a:p>
        </c:txPr>
        <c:crossAx val="837605119"/>
        <c:crosses val="autoZero"/>
        <c:auto val="1"/>
        <c:lblAlgn val="ctr"/>
        <c:lblOffset val="100"/>
        <c:noMultiLvlLbl val="0"/>
      </c:catAx>
      <c:valAx>
        <c:axId val="83760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ar-EG"/>
          </a:p>
        </c:txPr>
        <c:crossAx val="837604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Abdelaziz Usama Mahmoud.xlsx]Sheet1!PivotTable16</c:name>
    <c:fmtId val="2"/>
  </c:pivotSource>
  <c:chart>
    <c:title>
      <c:tx>
        <c:rich>
          <a:bodyPr rot="0" spcFirstLastPara="1" vertOverflow="ellipsis" vert="horz" wrap="square" anchor="ctr" anchorCtr="1"/>
          <a:lstStyle/>
          <a:p>
            <a:pPr>
              <a:defRPr lang="en-US" sz="1400" b="1" i="0" u="none" strike="noStrike" kern="1200" spc="0" baseline="0">
                <a:solidFill>
                  <a:srgbClr val="F2F2F2"/>
                </a:solidFill>
                <a:latin typeface="+mn-lt"/>
                <a:ea typeface="+mn-ea"/>
                <a:cs typeface="+mn-cs"/>
              </a:defRPr>
            </a:pPr>
            <a:r>
              <a:rPr lang="ar-EG" sz="1400" b="1">
                <a:solidFill>
                  <a:srgbClr val="F2F2F2"/>
                </a:solidFill>
              </a:rPr>
              <a:t>المنتج الأكثر مبيعا </a:t>
            </a:r>
            <a:r>
              <a:rPr lang="en-US" sz="1400" b="1">
                <a:solidFill>
                  <a:srgbClr val="F2F2F2"/>
                </a:solidFill>
              </a:rPr>
              <a:t>Best Seller</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rgbClr val="F2F2F2"/>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Sheet1!$P$6</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Sheet1!$O$7:$O$16</c:f>
              <c:strCache>
                <c:ptCount val="9"/>
                <c:pt idx="0">
                  <c:v>سرير</c:v>
                </c:pt>
                <c:pt idx="1">
                  <c:v>كنبة</c:v>
                </c:pt>
                <c:pt idx="2">
                  <c:v>ترابيزه</c:v>
                </c:pt>
                <c:pt idx="3">
                  <c:v>سرير </c:v>
                </c:pt>
                <c:pt idx="4">
                  <c:v>ترابيزه </c:v>
                </c:pt>
                <c:pt idx="5">
                  <c:v>كنبة </c:v>
                </c:pt>
                <c:pt idx="6">
                  <c:v>ركنة</c:v>
                </c:pt>
                <c:pt idx="7">
                  <c:v>شيزلونج</c:v>
                </c:pt>
                <c:pt idx="8">
                  <c:v>كرسى</c:v>
                </c:pt>
              </c:strCache>
            </c:strRef>
          </c:cat>
          <c:val>
            <c:numRef>
              <c:f>Sheet1!$P$7:$P$16</c:f>
              <c:numCache>
                <c:formatCode>_-* #,##0_-;\-* #,##0_-;_-* "-"??_-;_-@_-</c:formatCode>
                <c:ptCount val="9"/>
                <c:pt idx="0">
                  <c:v>83</c:v>
                </c:pt>
                <c:pt idx="1">
                  <c:v>16</c:v>
                </c:pt>
                <c:pt idx="2">
                  <c:v>15</c:v>
                </c:pt>
                <c:pt idx="3">
                  <c:v>5</c:v>
                </c:pt>
                <c:pt idx="4">
                  <c:v>2</c:v>
                </c:pt>
                <c:pt idx="5">
                  <c:v>2</c:v>
                </c:pt>
                <c:pt idx="6">
                  <c:v>1</c:v>
                </c:pt>
                <c:pt idx="7">
                  <c:v>1</c:v>
                </c:pt>
                <c:pt idx="8">
                  <c:v>1</c:v>
                </c:pt>
              </c:numCache>
            </c:numRef>
          </c:val>
          <c:extLst>
            <c:ext xmlns:c16="http://schemas.microsoft.com/office/drawing/2014/chart" uri="{C3380CC4-5D6E-409C-BE32-E72D297353CC}">
              <c16:uniqueId val="{00000000-FB9B-4CF0-92CC-731847DA44E7}"/>
            </c:ext>
          </c:extLst>
        </c:ser>
        <c:dLbls>
          <c:dLblPos val="outEnd"/>
          <c:showLegendKey val="0"/>
          <c:showVal val="1"/>
          <c:showCatName val="0"/>
          <c:showSerName val="0"/>
          <c:showPercent val="0"/>
          <c:showBubbleSize val="0"/>
        </c:dLbls>
        <c:gapWidth val="219"/>
        <c:overlap val="-27"/>
        <c:axId val="840694735"/>
        <c:axId val="840692815"/>
      </c:barChart>
      <c:catAx>
        <c:axId val="84069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rgbClr val="F2F2F2"/>
                </a:solidFill>
                <a:latin typeface="+mn-lt"/>
                <a:ea typeface="+mn-ea"/>
                <a:cs typeface="+mn-cs"/>
              </a:defRPr>
            </a:pPr>
            <a:endParaRPr lang="ar-EG"/>
          </a:p>
        </c:txPr>
        <c:crossAx val="840692815"/>
        <c:crosses val="autoZero"/>
        <c:auto val="1"/>
        <c:lblAlgn val="ctr"/>
        <c:lblOffset val="100"/>
        <c:noMultiLvlLbl val="0"/>
      </c:catAx>
      <c:valAx>
        <c:axId val="84069281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rgbClr val="F2F2F2"/>
                </a:solidFill>
                <a:latin typeface="+mn-lt"/>
                <a:ea typeface="+mn-ea"/>
                <a:cs typeface="+mn-cs"/>
              </a:defRPr>
            </a:pPr>
            <a:endParaRPr lang="ar-EG"/>
          </a:p>
        </c:txPr>
        <c:crossAx val="84069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Abdelaziz Usama Mahmoud.xlsx]Sheet1!PivotTable17</c:name>
    <c:fmtId val="4"/>
  </c:pivotSource>
  <c:chart>
    <c:title>
      <c:tx>
        <c:rich>
          <a:bodyPr rot="0" spcFirstLastPara="1" vertOverflow="ellipsis" vert="horz" wrap="square" anchor="ctr" anchorCtr="1"/>
          <a:lstStyle/>
          <a:p>
            <a:pPr rtl="1">
              <a:defRPr sz="1400" b="1" i="0" u="none" strike="noStrike" kern="1200" spc="0" baseline="0">
                <a:solidFill>
                  <a:srgbClr val="F2F2F2"/>
                </a:solidFill>
                <a:latin typeface="+mn-lt"/>
                <a:ea typeface="+mn-ea"/>
                <a:cs typeface="+mn-cs"/>
              </a:defRPr>
            </a:pPr>
            <a:r>
              <a:rPr lang="ar-EG" b="1">
                <a:solidFill>
                  <a:srgbClr val="F2F2F2"/>
                </a:solidFill>
              </a:rPr>
              <a:t>اللون الأكثر مبيعا </a:t>
            </a:r>
            <a:r>
              <a:rPr lang="en-US" b="1">
                <a:solidFill>
                  <a:srgbClr val="F2F2F2"/>
                </a:solidFill>
              </a:rPr>
              <a:t>Best Color sold </a:t>
            </a:r>
          </a:p>
        </c:rich>
      </c:tx>
      <c:overlay val="0"/>
      <c:spPr>
        <a:noFill/>
        <a:ln>
          <a:noFill/>
        </a:ln>
        <a:effectLst/>
      </c:spPr>
      <c:txPr>
        <a:bodyPr rot="0" spcFirstLastPara="1" vertOverflow="ellipsis" vert="horz" wrap="square" anchor="ctr" anchorCtr="1"/>
        <a:lstStyle/>
        <a:p>
          <a:pPr rtl="1">
            <a:defRPr sz="1400" b="1" i="0" u="none" strike="noStrike" kern="1200" spc="0" baseline="0">
              <a:solidFill>
                <a:srgbClr val="F2F2F2"/>
              </a:solidFill>
              <a:latin typeface="+mn-lt"/>
              <a:ea typeface="+mn-ea"/>
              <a:cs typeface="+mn-cs"/>
            </a:defRPr>
          </a:pPr>
          <a:endParaRPr lang="ar-EG"/>
        </a:p>
      </c:txPr>
    </c:title>
    <c:autoTitleDeleted val="0"/>
    <c:pivotFmts>
      <c:pivotFmt>
        <c:idx val="0"/>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Sheet1!$T$6</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Sheet1!$S$7:$S$21</c:f>
              <c:strCache>
                <c:ptCount val="14"/>
                <c:pt idx="0">
                  <c:v>ابيض</c:v>
                </c:pt>
                <c:pt idx="1">
                  <c:v>ازرق</c:v>
                </c:pt>
                <c:pt idx="2">
                  <c:v>اسزد</c:v>
                </c:pt>
                <c:pt idx="3">
                  <c:v>اسود</c:v>
                </c:pt>
                <c:pt idx="4">
                  <c:v>اسود </c:v>
                </c:pt>
                <c:pt idx="5">
                  <c:v>اسود وبنى</c:v>
                </c:pt>
                <c:pt idx="6">
                  <c:v>الوان</c:v>
                </c:pt>
                <c:pt idx="7">
                  <c:v>بنفسجى</c:v>
                </c:pt>
                <c:pt idx="8">
                  <c:v>بينك</c:v>
                </c:pt>
                <c:pt idx="9">
                  <c:v>دهبي</c:v>
                </c:pt>
                <c:pt idx="10">
                  <c:v>رمادى</c:v>
                </c:pt>
                <c:pt idx="11">
                  <c:v>ملون</c:v>
                </c:pt>
                <c:pt idx="12">
                  <c:v>نبيتى </c:v>
                </c:pt>
                <c:pt idx="13">
                  <c:v>(blank)</c:v>
                </c:pt>
              </c:strCache>
            </c:strRef>
          </c:cat>
          <c:val>
            <c:numRef>
              <c:f>Sheet1!$T$7:$T$21</c:f>
              <c:numCache>
                <c:formatCode>_-* #,##0_-;\-* #,##0_-;_-* "-"??_-;_-@_-</c:formatCode>
                <c:ptCount val="14"/>
                <c:pt idx="0">
                  <c:v>37</c:v>
                </c:pt>
                <c:pt idx="1">
                  <c:v>3</c:v>
                </c:pt>
                <c:pt idx="2">
                  <c:v>1</c:v>
                </c:pt>
                <c:pt idx="3">
                  <c:v>36</c:v>
                </c:pt>
                <c:pt idx="4">
                  <c:v>9</c:v>
                </c:pt>
                <c:pt idx="5">
                  <c:v>2</c:v>
                </c:pt>
                <c:pt idx="6">
                  <c:v>3</c:v>
                </c:pt>
                <c:pt idx="7">
                  <c:v>2</c:v>
                </c:pt>
                <c:pt idx="8">
                  <c:v>2</c:v>
                </c:pt>
                <c:pt idx="9">
                  <c:v>2</c:v>
                </c:pt>
                <c:pt idx="10">
                  <c:v>8</c:v>
                </c:pt>
                <c:pt idx="11">
                  <c:v>1</c:v>
                </c:pt>
                <c:pt idx="12">
                  <c:v>1</c:v>
                </c:pt>
              </c:numCache>
            </c:numRef>
          </c:val>
          <c:extLst>
            <c:ext xmlns:c16="http://schemas.microsoft.com/office/drawing/2014/chart" uri="{C3380CC4-5D6E-409C-BE32-E72D297353CC}">
              <c16:uniqueId val="{00000000-6120-4A05-8759-52DBB3BB48EF}"/>
            </c:ext>
          </c:extLst>
        </c:ser>
        <c:dLbls>
          <c:dLblPos val="outEnd"/>
          <c:showLegendKey val="0"/>
          <c:showVal val="1"/>
          <c:showCatName val="0"/>
          <c:showSerName val="0"/>
          <c:showPercent val="0"/>
          <c:showBubbleSize val="0"/>
        </c:dLbls>
        <c:gapWidth val="219"/>
        <c:overlap val="-27"/>
        <c:axId val="1565331327"/>
        <c:axId val="1565329887"/>
      </c:barChart>
      <c:catAx>
        <c:axId val="1565331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ar-EG"/>
          </a:p>
        </c:txPr>
        <c:crossAx val="1565329887"/>
        <c:crosses val="autoZero"/>
        <c:auto val="1"/>
        <c:lblAlgn val="ctr"/>
        <c:lblOffset val="100"/>
        <c:noMultiLvlLbl val="0"/>
      </c:catAx>
      <c:valAx>
        <c:axId val="156532988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ar-EG"/>
          </a:p>
        </c:txPr>
        <c:crossAx val="156533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Abdelaziz Usama Mahmoud.xlsx]Sheet1!PivotTable19</c:name>
    <c:fmtId val="2"/>
  </c:pivotSource>
  <c:chart>
    <c:title>
      <c:tx>
        <c:rich>
          <a:bodyPr rot="0" spcFirstLastPara="1" vertOverflow="ellipsis" vert="horz" wrap="square" anchor="ctr" anchorCtr="1"/>
          <a:lstStyle/>
          <a:p>
            <a:pPr rtl="1">
              <a:defRPr sz="1400" b="1" i="0" u="none" strike="noStrike" kern="1200" spc="0" baseline="0">
                <a:solidFill>
                  <a:srgbClr val="F2F2F2"/>
                </a:solidFill>
                <a:latin typeface="+mn-lt"/>
                <a:ea typeface="+mn-ea"/>
                <a:cs typeface="+mn-cs"/>
              </a:defRPr>
            </a:pPr>
            <a:r>
              <a:rPr lang="ar-EG" b="1">
                <a:solidFill>
                  <a:srgbClr val="F2F2F2"/>
                </a:solidFill>
              </a:rPr>
              <a:t>نسبة الطلبات المسلمة في الموعد (</a:t>
            </a:r>
            <a:r>
              <a:rPr lang="en-US" b="1">
                <a:solidFill>
                  <a:srgbClr val="F2F2F2"/>
                </a:solidFill>
              </a:rPr>
              <a:t>On-time Delivery Rate)</a:t>
            </a:r>
          </a:p>
        </c:rich>
      </c:tx>
      <c:overlay val="0"/>
      <c:spPr>
        <a:noFill/>
        <a:ln>
          <a:noFill/>
        </a:ln>
        <a:effectLst/>
      </c:spPr>
      <c:txPr>
        <a:bodyPr rot="0" spcFirstLastPara="1" vertOverflow="ellipsis" vert="horz" wrap="square" anchor="ctr" anchorCtr="1"/>
        <a:lstStyle/>
        <a:p>
          <a:pPr rtl="1">
            <a:defRPr sz="1400" b="1" i="0" u="none" strike="noStrike" kern="1200" spc="0" baseline="0">
              <a:solidFill>
                <a:srgbClr val="F2F2F2"/>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21B2D"/>
            </a:solidFill>
            <a:round/>
          </a:ln>
          <a:effectLst/>
        </c:spPr>
        <c:marker>
          <c:symbol val="circle"/>
          <c:size val="5"/>
          <c:spPr>
            <a:solidFill>
              <a:srgbClr val="590209"/>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3.7190677358033532E-2"/>
              <c:y val="4.4340191894395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3.7190677358033532E-2"/>
              <c:y val="-0.137114181019759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2.3964974172388607E-2"/>
              <c:y val="4.8560061031934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2.6610114809517593E-2"/>
              <c:y val="-0.12867444274468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8.0941303496147188E-3"/>
              <c:y val="4.4340191894395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3.4545536720904546E-2"/>
              <c:y val="-0.107575097056990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4.2480958632291552E-2"/>
              <c:y val="-5.27167982689897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1.073927098674368E-2"/>
              <c:y val="4.0120322756857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2.9255255446646575E-2"/>
              <c:y val="-0.103355227919451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5.4489897124857098E-3"/>
              <c:y val="4.8560061031934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3.190039608377556E-2"/>
              <c:y val="-0.141334050157298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1.8674692898130733E-2"/>
              <c:y val="-0.120234704469605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2.1319833535259621E-2"/>
              <c:y val="-0.111794966194528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5.8351802455065507E-2"/>
              <c:y val="-0.103355227919451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F21B2D"/>
            </a:solidFill>
            <a:round/>
          </a:ln>
          <a:effectLst/>
        </c:spPr>
        <c:marker>
          <c:symbol val="circle"/>
          <c:size val="5"/>
          <c:spPr>
            <a:solidFill>
              <a:srgbClr val="590209"/>
            </a:solidFill>
            <a:ln w="9525">
              <a:solidFill>
                <a:schemeClr val="accent1"/>
              </a:solidFill>
            </a:ln>
            <a:effectLst/>
          </c:spPr>
        </c:marker>
        <c:dLbl>
          <c:idx val="0"/>
          <c:layout>
            <c:manualLayout>
              <c:x val="-1.8674692898130636E-2"/>
              <c:y val="9.07587524073190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F21B2D"/>
            </a:solidFill>
            <a:round/>
          </a:ln>
          <a:effectLst/>
        </c:spPr>
        <c:marker>
          <c:symbol val="circle"/>
          <c:size val="5"/>
          <c:spPr>
            <a:solidFill>
              <a:srgbClr val="590209"/>
            </a:solidFill>
            <a:ln w="9525">
              <a:solidFill>
                <a:schemeClr val="accent1"/>
              </a:solidFill>
            </a:ln>
            <a:effectLst/>
          </c:spPr>
        </c:marker>
      </c:pivotFmt>
    </c:pivotFmts>
    <c:plotArea>
      <c:layout/>
      <c:lineChart>
        <c:grouping val="standard"/>
        <c:varyColors val="0"/>
        <c:ser>
          <c:idx val="0"/>
          <c:order val="0"/>
          <c:tx>
            <c:strRef>
              <c:f>Sheet1!$X$6</c:f>
              <c:strCache>
                <c:ptCount val="1"/>
                <c:pt idx="0">
                  <c:v>Total</c:v>
                </c:pt>
              </c:strCache>
            </c:strRef>
          </c:tx>
          <c:spPr>
            <a:ln w="28575" cap="rnd">
              <a:solidFill>
                <a:srgbClr val="F21B2D"/>
              </a:solidFill>
              <a:round/>
            </a:ln>
            <a:effectLst/>
          </c:spPr>
          <c:marker>
            <c:symbol val="circle"/>
            <c:size val="5"/>
            <c:spPr>
              <a:solidFill>
                <a:srgbClr val="590209"/>
              </a:solidFill>
              <a:ln w="9525">
                <a:solidFill>
                  <a:schemeClr val="accent1"/>
                </a:solidFill>
              </a:ln>
              <a:effectLst/>
            </c:spPr>
          </c:marker>
          <c:dPt>
            <c:idx val="0"/>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1-6E3E-44F4-BC93-DFA0AAB6C59D}"/>
              </c:ext>
            </c:extLst>
          </c:dPt>
          <c:dPt>
            <c:idx val="1"/>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2-6E3E-44F4-BC93-DFA0AAB6C59D}"/>
              </c:ext>
            </c:extLst>
          </c:dPt>
          <c:dPt>
            <c:idx val="2"/>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3-6E3E-44F4-BC93-DFA0AAB6C59D}"/>
              </c:ext>
            </c:extLst>
          </c:dPt>
          <c:dPt>
            <c:idx val="4"/>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4-6E3E-44F4-BC93-DFA0AAB6C59D}"/>
              </c:ext>
            </c:extLst>
          </c:dPt>
          <c:dPt>
            <c:idx val="5"/>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5-6E3E-44F4-BC93-DFA0AAB6C59D}"/>
              </c:ext>
            </c:extLst>
          </c:dPt>
          <c:dPt>
            <c:idx val="7"/>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7-6E3E-44F4-BC93-DFA0AAB6C59D}"/>
              </c:ext>
            </c:extLst>
          </c:dPt>
          <c:dPt>
            <c:idx val="8"/>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6-6E3E-44F4-BC93-DFA0AAB6C59D}"/>
              </c:ext>
            </c:extLst>
          </c:dPt>
          <c:dPt>
            <c:idx val="9"/>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8-6E3E-44F4-BC93-DFA0AAB6C59D}"/>
              </c:ext>
            </c:extLst>
          </c:dPt>
          <c:dPt>
            <c:idx val="10"/>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9-6E3E-44F4-BC93-DFA0AAB6C59D}"/>
              </c:ext>
            </c:extLst>
          </c:dPt>
          <c:dPt>
            <c:idx val="11"/>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A-6E3E-44F4-BC93-DFA0AAB6C59D}"/>
              </c:ext>
            </c:extLst>
          </c:dPt>
          <c:dPt>
            <c:idx val="20"/>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B-6E3E-44F4-BC93-DFA0AAB6C59D}"/>
              </c:ext>
            </c:extLst>
          </c:dPt>
          <c:dPt>
            <c:idx val="22"/>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C-6E3E-44F4-BC93-DFA0AAB6C59D}"/>
              </c:ext>
            </c:extLst>
          </c:dPt>
          <c:dPt>
            <c:idx val="41"/>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F-6E3E-44F4-BC93-DFA0AAB6C59D}"/>
              </c:ext>
            </c:extLst>
          </c:dPt>
          <c:dPt>
            <c:idx val="42"/>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E-6E3E-44F4-BC93-DFA0AAB6C59D}"/>
              </c:ext>
            </c:extLst>
          </c:dPt>
          <c:dPt>
            <c:idx val="43"/>
            <c:marker>
              <c:symbol val="circle"/>
              <c:size val="5"/>
              <c:spPr>
                <a:solidFill>
                  <a:srgbClr val="590209"/>
                </a:solidFill>
                <a:ln w="9525">
                  <a:solidFill>
                    <a:schemeClr val="accent1"/>
                  </a:solidFill>
                </a:ln>
                <a:effectLst/>
              </c:spPr>
            </c:marker>
            <c:bubble3D val="0"/>
            <c:extLst>
              <c:ext xmlns:c16="http://schemas.microsoft.com/office/drawing/2014/chart" uri="{C3380CC4-5D6E-409C-BE32-E72D297353CC}">
                <c16:uniqueId val="{0000000D-6E3E-44F4-BC93-DFA0AAB6C59D}"/>
              </c:ext>
            </c:extLst>
          </c:dPt>
          <c:dLbls>
            <c:dLbl>
              <c:idx val="0"/>
              <c:layout>
                <c:manualLayout>
                  <c:x val="-3.7190677358033532E-2"/>
                  <c:y val="4.4340191894395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3E-44F4-BC93-DFA0AAB6C59D}"/>
                </c:ext>
              </c:extLst>
            </c:dLbl>
            <c:dLbl>
              <c:idx val="1"/>
              <c:layout>
                <c:manualLayout>
                  <c:x val="-3.7190677358033532E-2"/>
                  <c:y val="-0.137114181019759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3E-44F4-BC93-DFA0AAB6C59D}"/>
                </c:ext>
              </c:extLst>
            </c:dLbl>
            <c:dLbl>
              <c:idx val="2"/>
              <c:layout>
                <c:manualLayout>
                  <c:x val="-2.3964974172388607E-2"/>
                  <c:y val="4.856006103193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3E-44F4-BC93-DFA0AAB6C59D}"/>
                </c:ext>
              </c:extLst>
            </c:dLbl>
            <c:dLbl>
              <c:idx val="4"/>
              <c:layout>
                <c:manualLayout>
                  <c:x val="-2.6610114809517593E-2"/>
                  <c:y val="-0.12867444274468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3E-44F4-BC93-DFA0AAB6C59D}"/>
                </c:ext>
              </c:extLst>
            </c:dLbl>
            <c:dLbl>
              <c:idx val="5"/>
              <c:layout>
                <c:manualLayout>
                  <c:x val="-8.0941303496147188E-3"/>
                  <c:y val="4.43401918943956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3E-44F4-BC93-DFA0AAB6C59D}"/>
                </c:ext>
              </c:extLst>
            </c:dLbl>
            <c:dLbl>
              <c:idx val="7"/>
              <c:layout>
                <c:manualLayout>
                  <c:x val="-4.2480958632291552E-2"/>
                  <c:y val="-5.27167982689897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3E-44F4-BC93-DFA0AAB6C59D}"/>
                </c:ext>
              </c:extLst>
            </c:dLbl>
            <c:dLbl>
              <c:idx val="8"/>
              <c:layout>
                <c:manualLayout>
                  <c:x val="-3.4545536720904546E-2"/>
                  <c:y val="-0.1075750970569901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E3E-44F4-BC93-DFA0AAB6C59D}"/>
                </c:ext>
              </c:extLst>
            </c:dLbl>
            <c:dLbl>
              <c:idx val="9"/>
              <c:layout>
                <c:manualLayout>
                  <c:x val="-1.073927098674368E-2"/>
                  <c:y val="4.01203227568571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3E-44F4-BC93-DFA0AAB6C59D}"/>
                </c:ext>
              </c:extLst>
            </c:dLbl>
            <c:dLbl>
              <c:idx val="10"/>
              <c:layout>
                <c:manualLayout>
                  <c:x val="-2.9255255446646575E-2"/>
                  <c:y val="-0.103355227919451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E3E-44F4-BC93-DFA0AAB6C59D}"/>
                </c:ext>
              </c:extLst>
            </c:dLbl>
            <c:dLbl>
              <c:idx val="11"/>
              <c:layout>
                <c:manualLayout>
                  <c:x val="-5.4489897124857098E-3"/>
                  <c:y val="4.8560061031934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E3E-44F4-BC93-DFA0AAB6C59D}"/>
                </c:ext>
              </c:extLst>
            </c:dLbl>
            <c:dLbl>
              <c:idx val="20"/>
              <c:layout>
                <c:manualLayout>
                  <c:x val="-3.190039608377556E-2"/>
                  <c:y val="-0.1413340501572981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E3E-44F4-BC93-DFA0AAB6C59D}"/>
                </c:ext>
              </c:extLst>
            </c:dLbl>
            <c:dLbl>
              <c:idx val="22"/>
              <c:layout>
                <c:manualLayout>
                  <c:x val="-1.8674692898130733E-2"/>
                  <c:y val="-0.120234704469605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E3E-44F4-BC93-DFA0AAB6C59D}"/>
                </c:ext>
              </c:extLst>
            </c:dLbl>
            <c:dLbl>
              <c:idx val="41"/>
              <c:layout>
                <c:manualLayout>
                  <c:x val="-1.8674692898130636E-2"/>
                  <c:y val="9.07587524073190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E3E-44F4-BC93-DFA0AAB6C59D}"/>
                </c:ext>
              </c:extLst>
            </c:dLbl>
            <c:dLbl>
              <c:idx val="42"/>
              <c:layout>
                <c:manualLayout>
                  <c:x val="-5.8351802455065507E-2"/>
                  <c:y val="-0.103355227919451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E3E-44F4-BC93-DFA0AAB6C59D}"/>
                </c:ext>
              </c:extLst>
            </c:dLbl>
            <c:dLbl>
              <c:idx val="43"/>
              <c:layout>
                <c:manualLayout>
                  <c:x val="-2.1319833535259621E-2"/>
                  <c:y val="-0.111794966194528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E3E-44F4-BC93-DFA0AAB6C59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Sheet1!$W$7:$W$53</c:f>
              <c:strCache>
                <c:ptCount val="46"/>
                <c:pt idx="0">
                  <c:v>-67</c:v>
                </c:pt>
                <c:pt idx="1">
                  <c:v>-59</c:v>
                </c:pt>
                <c:pt idx="2">
                  <c:v>-50</c:v>
                </c:pt>
                <c:pt idx="3">
                  <c:v>-45</c:v>
                </c:pt>
                <c:pt idx="4">
                  <c:v>-43</c:v>
                </c:pt>
                <c:pt idx="5">
                  <c:v>-42</c:v>
                </c:pt>
                <c:pt idx="6">
                  <c:v>-35</c:v>
                </c:pt>
                <c:pt idx="7">
                  <c:v>-34</c:v>
                </c:pt>
                <c:pt idx="8">
                  <c:v>-32</c:v>
                </c:pt>
                <c:pt idx="9">
                  <c:v>-31</c:v>
                </c:pt>
                <c:pt idx="10">
                  <c:v>-24</c:v>
                </c:pt>
                <c:pt idx="11">
                  <c:v>-21</c:v>
                </c:pt>
                <c:pt idx="12">
                  <c:v>-19</c:v>
                </c:pt>
                <c:pt idx="13">
                  <c:v>-18</c:v>
                </c:pt>
                <c:pt idx="14">
                  <c:v>-17</c:v>
                </c:pt>
                <c:pt idx="15">
                  <c:v>-16</c:v>
                </c:pt>
                <c:pt idx="16">
                  <c:v>-15</c:v>
                </c:pt>
                <c:pt idx="17">
                  <c:v>-14</c:v>
                </c:pt>
                <c:pt idx="18">
                  <c:v>-12</c:v>
                </c:pt>
                <c:pt idx="19">
                  <c:v>-11</c:v>
                </c:pt>
                <c:pt idx="20">
                  <c:v>-10</c:v>
                </c:pt>
                <c:pt idx="21">
                  <c:v>-9</c:v>
                </c:pt>
                <c:pt idx="22">
                  <c:v>-8</c:v>
                </c:pt>
                <c:pt idx="23">
                  <c:v>-7</c:v>
                </c:pt>
                <c:pt idx="24">
                  <c:v>-5</c:v>
                </c:pt>
                <c:pt idx="25">
                  <c:v>-4</c:v>
                </c:pt>
                <c:pt idx="26">
                  <c:v>-3</c:v>
                </c:pt>
                <c:pt idx="27">
                  <c:v>-2</c:v>
                </c:pt>
                <c:pt idx="28">
                  <c:v>-1</c:v>
                </c:pt>
                <c:pt idx="29">
                  <c:v>0</c:v>
                </c:pt>
                <c:pt idx="30">
                  <c:v>1</c:v>
                </c:pt>
                <c:pt idx="31">
                  <c:v>2</c:v>
                </c:pt>
                <c:pt idx="32">
                  <c:v>3</c:v>
                </c:pt>
                <c:pt idx="33">
                  <c:v>4</c:v>
                </c:pt>
                <c:pt idx="34">
                  <c:v>5</c:v>
                </c:pt>
                <c:pt idx="35">
                  <c:v>6</c:v>
                </c:pt>
                <c:pt idx="36">
                  <c:v>7</c:v>
                </c:pt>
                <c:pt idx="37">
                  <c:v>8</c:v>
                </c:pt>
                <c:pt idx="38">
                  <c:v>9</c:v>
                </c:pt>
                <c:pt idx="39">
                  <c:v>10</c:v>
                </c:pt>
                <c:pt idx="40">
                  <c:v>13</c:v>
                </c:pt>
                <c:pt idx="41">
                  <c:v>14</c:v>
                </c:pt>
                <c:pt idx="42">
                  <c:v>15</c:v>
                </c:pt>
                <c:pt idx="43">
                  <c:v>16</c:v>
                </c:pt>
                <c:pt idx="44">
                  <c:v>20</c:v>
                </c:pt>
                <c:pt idx="45">
                  <c:v>(blank)</c:v>
                </c:pt>
              </c:strCache>
            </c:strRef>
          </c:cat>
          <c:val>
            <c:numRef>
              <c:f>Sheet1!$X$7:$X$53</c:f>
              <c:numCache>
                <c:formatCode>0%</c:formatCode>
                <c:ptCount val="46"/>
                <c:pt idx="0">
                  <c:v>8.130081300813009E-3</c:v>
                </c:pt>
                <c:pt idx="1">
                  <c:v>8.130081300813009E-3</c:v>
                </c:pt>
                <c:pt idx="2">
                  <c:v>8.130081300813009E-3</c:v>
                </c:pt>
                <c:pt idx="3">
                  <c:v>4.065040650406504E-2</c:v>
                </c:pt>
                <c:pt idx="4">
                  <c:v>8.130081300813009E-3</c:v>
                </c:pt>
                <c:pt idx="5">
                  <c:v>8.130081300813009E-3</c:v>
                </c:pt>
                <c:pt idx="6">
                  <c:v>2.4390243902439025E-2</c:v>
                </c:pt>
                <c:pt idx="7">
                  <c:v>8.130081300813009E-3</c:v>
                </c:pt>
                <c:pt idx="8">
                  <c:v>8.130081300813009E-3</c:v>
                </c:pt>
                <c:pt idx="9">
                  <c:v>8.130081300813009E-3</c:v>
                </c:pt>
                <c:pt idx="10">
                  <c:v>8.130081300813009E-3</c:v>
                </c:pt>
                <c:pt idx="11">
                  <c:v>8.130081300813009E-3</c:v>
                </c:pt>
                <c:pt idx="12">
                  <c:v>2.4390243902439025E-2</c:v>
                </c:pt>
                <c:pt idx="13">
                  <c:v>8.130081300813009E-3</c:v>
                </c:pt>
                <c:pt idx="14">
                  <c:v>1.6260162601626018E-2</c:v>
                </c:pt>
                <c:pt idx="15">
                  <c:v>2.4390243902439025E-2</c:v>
                </c:pt>
                <c:pt idx="16">
                  <c:v>3.2520325203252036E-2</c:v>
                </c:pt>
                <c:pt idx="17">
                  <c:v>4.878048780487805E-2</c:v>
                </c:pt>
                <c:pt idx="18">
                  <c:v>2.4390243902439025E-2</c:v>
                </c:pt>
                <c:pt idx="19">
                  <c:v>8.130081300813009E-3</c:v>
                </c:pt>
                <c:pt idx="20">
                  <c:v>1.6260162601626018E-2</c:v>
                </c:pt>
                <c:pt idx="21">
                  <c:v>1.6260162601626018E-2</c:v>
                </c:pt>
                <c:pt idx="22">
                  <c:v>1.6260162601626018E-2</c:v>
                </c:pt>
                <c:pt idx="23">
                  <c:v>8.130081300813009E-3</c:v>
                </c:pt>
                <c:pt idx="24">
                  <c:v>1.6260162601626018E-2</c:v>
                </c:pt>
                <c:pt idx="25">
                  <c:v>8.130081300813009E-3</c:v>
                </c:pt>
                <c:pt idx="26">
                  <c:v>1.6260162601626018E-2</c:v>
                </c:pt>
                <c:pt idx="27">
                  <c:v>2.4390243902439025E-2</c:v>
                </c:pt>
                <c:pt idx="28">
                  <c:v>4.878048780487805E-2</c:v>
                </c:pt>
                <c:pt idx="29">
                  <c:v>4.065040650406504E-2</c:v>
                </c:pt>
                <c:pt idx="30">
                  <c:v>7.3170731707317069E-2</c:v>
                </c:pt>
                <c:pt idx="31">
                  <c:v>6.5040650406504072E-2</c:v>
                </c:pt>
                <c:pt idx="32">
                  <c:v>4.065040650406504E-2</c:v>
                </c:pt>
                <c:pt idx="33">
                  <c:v>2.4390243902439025E-2</c:v>
                </c:pt>
                <c:pt idx="34">
                  <c:v>6.5040650406504072E-2</c:v>
                </c:pt>
                <c:pt idx="35">
                  <c:v>2.4390243902439025E-2</c:v>
                </c:pt>
                <c:pt idx="36">
                  <c:v>3.2520325203252036E-2</c:v>
                </c:pt>
                <c:pt idx="37">
                  <c:v>1.6260162601626018E-2</c:v>
                </c:pt>
                <c:pt idx="38">
                  <c:v>3.2520325203252036E-2</c:v>
                </c:pt>
                <c:pt idx="39">
                  <c:v>1.6260162601626018E-2</c:v>
                </c:pt>
                <c:pt idx="40">
                  <c:v>8.130081300813009E-3</c:v>
                </c:pt>
                <c:pt idx="41">
                  <c:v>1.6260162601626018E-2</c:v>
                </c:pt>
                <c:pt idx="42">
                  <c:v>1.6260162601626018E-2</c:v>
                </c:pt>
                <c:pt idx="43">
                  <c:v>1.6260162601626018E-2</c:v>
                </c:pt>
                <c:pt idx="44">
                  <c:v>8.130081300813009E-3</c:v>
                </c:pt>
                <c:pt idx="45">
                  <c:v>0</c:v>
                </c:pt>
              </c:numCache>
            </c:numRef>
          </c:val>
          <c:smooth val="0"/>
          <c:extLst>
            <c:ext xmlns:c16="http://schemas.microsoft.com/office/drawing/2014/chart" uri="{C3380CC4-5D6E-409C-BE32-E72D297353CC}">
              <c16:uniqueId val="{00000000-6E3E-44F4-BC93-DFA0AAB6C59D}"/>
            </c:ext>
          </c:extLst>
        </c:ser>
        <c:dLbls>
          <c:dLblPos val="t"/>
          <c:showLegendKey val="0"/>
          <c:showVal val="1"/>
          <c:showCatName val="0"/>
          <c:showSerName val="0"/>
          <c:showPercent val="0"/>
          <c:showBubbleSize val="0"/>
        </c:dLbls>
        <c:marker val="1"/>
        <c:smooth val="0"/>
        <c:axId val="1565340511"/>
        <c:axId val="1565344351"/>
      </c:lineChart>
      <c:catAx>
        <c:axId val="156534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ar-EG"/>
          </a:p>
        </c:txPr>
        <c:crossAx val="1565344351"/>
        <c:crosses val="autoZero"/>
        <c:auto val="1"/>
        <c:lblAlgn val="ctr"/>
        <c:lblOffset val="100"/>
        <c:noMultiLvlLbl val="0"/>
      </c:catAx>
      <c:valAx>
        <c:axId val="1565344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ar-EG"/>
          </a:p>
        </c:txPr>
        <c:crossAx val="1565340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Abdelaziz Usama Mahmoud.xlsx]Sheet1!PivotTable20</c:name>
    <c:fmtId val="2"/>
  </c:pivotSource>
  <c:chart>
    <c:title>
      <c:tx>
        <c:rich>
          <a:bodyPr rot="0" spcFirstLastPara="1" vertOverflow="ellipsis" vert="horz" wrap="square" anchor="ctr" anchorCtr="1"/>
          <a:lstStyle/>
          <a:p>
            <a:pPr>
              <a:defRPr sz="1400" b="1" i="0" u="none" strike="noStrike" kern="1200" spc="0" baseline="0">
                <a:solidFill>
                  <a:srgbClr val="F2F2F2"/>
                </a:solidFill>
                <a:latin typeface="+mn-lt"/>
                <a:ea typeface="+mn-ea"/>
                <a:cs typeface="+mn-cs"/>
              </a:defRPr>
            </a:pPr>
            <a:r>
              <a:rPr lang="ar-EG" b="1">
                <a:solidFill>
                  <a:srgbClr val="F2F2F2"/>
                </a:solidFill>
              </a:rPr>
              <a:t>نسبة الطلبات  الملغاة التي لم تتسلم (</a:t>
            </a:r>
            <a:r>
              <a:rPr lang="en-US" b="1">
                <a:solidFill>
                  <a:srgbClr val="F2F2F2"/>
                </a:solidFill>
              </a:rPr>
              <a:t>Delivery Status Breakdown)</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2F2F2"/>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90209"/>
          </a:solidFill>
          <a:ln w="19050">
            <a:solidFill>
              <a:schemeClr val="lt1"/>
            </a:solidFill>
          </a:ln>
          <a:effectLst/>
        </c:spPr>
        <c:dLbl>
          <c:idx val="0"/>
          <c:layout>
            <c:manualLayout>
              <c:x val="9.444444444444444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w="19050">
            <a:solidFill>
              <a:schemeClr val="lt1"/>
            </a:solidFill>
          </a:ln>
          <a:effectLst/>
        </c:spPr>
        <c:dLbl>
          <c:idx val="0"/>
          <c:layout>
            <c:manualLayout>
              <c:x val="-4.72222222222222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60311"/>
          </a:solidFill>
          <a:ln w="19050">
            <a:solidFill>
              <a:schemeClr val="lt1"/>
            </a:solidFill>
          </a:ln>
          <a:effectLst/>
        </c:spPr>
        <c:dLbl>
          <c:idx val="0"/>
          <c:layout>
            <c:manualLayout>
              <c:x val="-1.6666666666666666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0311"/>
          </a:solidFill>
          <a:ln w="19050">
            <a:solidFill>
              <a:schemeClr val="lt1"/>
            </a:solidFill>
          </a:ln>
          <a:effectLst/>
        </c:spPr>
        <c:dLbl>
          <c:idx val="0"/>
          <c:layout>
            <c:manualLayout>
              <c:x val="-1.6666666666666666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90209"/>
          </a:solidFill>
          <a:ln w="19050">
            <a:solidFill>
              <a:schemeClr val="lt1"/>
            </a:solidFill>
          </a:ln>
          <a:effectLst/>
        </c:spPr>
        <c:dLbl>
          <c:idx val="0"/>
          <c:layout>
            <c:manualLayout>
              <c:x val="9.444444444444444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1B2D"/>
          </a:solidFill>
          <a:ln w="19050">
            <a:solidFill>
              <a:schemeClr val="lt1"/>
            </a:solidFill>
          </a:ln>
          <a:effectLst/>
        </c:spPr>
        <c:dLbl>
          <c:idx val="0"/>
          <c:layout>
            <c:manualLayout>
              <c:x val="-4.72222222222222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60311"/>
          </a:solidFill>
          <a:ln w="19050">
            <a:solidFill>
              <a:schemeClr val="lt1"/>
            </a:solidFill>
          </a:ln>
          <a:effectLst/>
        </c:spPr>
        <c:dLbl>
          <c:idx val="0"/>
          <c:layout>
            <c:manualLayout>
              <c:x val="-1.6666666666666666E-2"/>
              <c:y val="-0.180555555555555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90209"/>
          </a:solidFill>
          <a:ln w="19050">
            <a:solidFill>
              <a:schemeClr val="lt1"/>
            </a:solidFill>
          </a:ln>
          <a:effectLst/>
        </c:spPr>
        <c:dLbl>
          <c:idx val="0"/>
          <c:layout>
            <c:manualLayout>
              <c:x val="9.4444444444444442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1B2D"/>
          </a:solidFill>
          <a:ln w="19050">
            <a:solidFill>
              <a:schemeClr val="lt1"/>
            </a:solidFill>
          </a:ln>
          <a:effectLst/>
        </c:spPr>
        <c:dLbl>
          <c:idx val="0"/>
          <c:layout>
            <c:manualLayout>
              <c:x val="-4.72222222222222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Sheet1!$AB$6</c:f>
              <c:strCache>
                <c:ptCount val="1"/>
                <c:pt idx="0">
                  <c:v>Total</c:v>
                </c:pt>
              </c:strCache>
            </c:strRef>
          </c:tx>
          <c:dPt>
            <c:idx val="0"/>
            <c:bubble3D val="0"/>
            <c:spPr>
              <a:solidFill>
                <a:srgbClr val="A60311"/>
              </a:solidFill>
              <a:ln w="19050">
                <a:solidFill>
                  <a:schemeClr val="lt1"/>
                </a:solidFill>
              </a:ln>
              <a:effectLst/>
            </c:spPr>
            <c:extLst>
              <c:ext xmlns:c16="http://schemas.microsoft.com/office/drawing/2014/chart" uri="{C3380CC4-5D6E-409C-BE32-E72D297353CC}">
                <c16:uniqueId val="{00000001-C93C-49EC-A783-49589E370894}"/>
              </c:ext>
            </c:extLst>
          </c:dPt>
          <c:dPt>
            <c:idx val="1"/>
            <c:bubble3D val="0"/>
            <c:spPr>
              <a:solidFill>
                <a:srgbClr val="590209"/>
              </a:solidFill>
              <a:ln w="19050">
                <a:solidFill>
                  <a:schemeClr val="lt1"/>
                </a:solidFill>
              </a:ln>
              <a:effectLst/>
            </c:spPr>
            <c:extLst>
              <c:ext xmlns:c16="http://schemas.microsoft.com/office/drawing/2014/chart" uri="{C3380CC4-5D6E-409C-BE32-E72D297353CC}">
                <c16:uniqueId val="{00000003-C93C-49EC-A783-49589E370894}"/>
              </c:ext>
            </c:extLst>
          </c:dPt>
          <c:dPt>
            <c:idx val="2"/>
            <c:bubble3D val="0"/>
            <c:spPr>
              <a:solidFill>
                <a:srgbClr val="F21B2D"/>
              </a:solidFill>
              <a:ln w="19050">
                <a:solidFill>
                  <a:schemeClr val="lt1"/>
                </a:solidFill>
              </a:ln>
              <a:effectLst/>
            </c:spPr>
            <c:extLst>
              <c:ext xmlns:c16="http://schemas.microsoft.com/office/drawing/2014/chart" uri="{C3380CC4-5D6E-409C-BE32-E72D297353CC}">
                <c16:uniqueId val="{00000005-C93C-49EC-A783-49589E370894}"/>
              </c:ext>
            </c:extLst>
          </c:dPt>
          <c:dLbls>
            <c:dLbl>
              <c:idx val="0"/>
              <c:layout>
                <c:manualLayout>
                  <c:x val="-1.6666666666666666E-2"/>
                  <c:y val="-0.180555555555555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3C-49EC-A783-49589E370894}"/>
                </c:ext>
              </c:extLst>
            </c:dLbl>
            <c:dLbl>
              <c:idx val="1"/>
              <c:layout>
                <c:manualLayout>
                  <c:x val="9.4444444444444442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3C-49EC-A783-49589E370894}"/>
                </c:ext>
              </c:extLst>
            </c:dLbl>
            <c:dLbl>
              <c:idx val="2"/>
              <c:layout>
                <c:manualLayout>
                  <c:x val="-4.7222222222222276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3C-49EC-A783-49589E37089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2F2F2"/>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Sheet1!$AA$7:$AA$10</c:f>
              <c:strCache>
                <c:ptCount val="3"/>
                <c:pt idx="0">
                  <c:v>تم التسليم</c:v>
                </c:pt>
                <c:pt idx="1">
                  <c:v>مرتجع</c:v>
                </c:pt>
                <c:pt idx="2">
                  <c:v>مرفوض</c:v>
                </c:pt>
              </c:strCache>
            </c:strRef>
          </c:cat>
          <c:val>
            <c:numRef>
              <c:f>Sheet1!$AB$7:$AB$10</c:f>
              <c:numCache>
                <c:formatCode>0%</c:formatCode>
                <c:ptCount val="3"/>
                <c:pt idx="0">
                  <c:v>0.80952380952380953</c:v>
                </c:pt>
                <c:pt idx="1">
                  <c:v>7.9365079365079361E-3</c:v>
                </c:pt>
                <c:pt idx="2">
                  <c:v>0.18253968253968253</c:v>
                </c:pt>
              </c:numCache>
            </c:numRef>
          </c:val>
          <c:extLst>
            <c:ext xmlns:c16="http://schemas.microsoft.com/office/drawing/2014/chart" uri="{C3380CC4-5D6E-409C-BE32-E72D297353CC}">
              <c16:uniqueId val="{00000006-C93C-49EC-A783-49589E3708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F2F2F2"/>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Abdelaziz Usama Mahmoud.xlsx]Sheet1!PivotTable21</c:name>
    <c:fmtId val="2"/>
  </c:pivotSource>
  <c:chart>
    <c:title>
      <c:tx>
        <c:rich>
          <a:bodyPr rot="0" spcFirstLastPara="1" vertOverflow="ellipsis" vert="horz" wrap="square" anchor="ctr" anchorCtr="1"/>
          <a:lstStyle/>
          <a:p>
            <a:pPr>
              <a:defRPr sz="1400" b="1" i="0" u="none" strike="noStrike" kern="1200" spc="0" baseline="0">
                <a:solidFill>
                  <a:srgbClr val="F2F2F2"/>
                </a:solidFill>
                <a:latin typeface="+mn-lt"/>
                <a:ea typeface="+mn-ea"/>
                <a:cs typeface="+mn-cs"/>
              </a:defRPr>
            </a:pPr>
            <a:r>
              <a:rPr lang="ar-EG" b="1">
                <a:solidFill>
                  <a:srgbClr val="F2F2F2"/>
                </a:solidFill>
              </a:rPr>
              <a:t>المدينة الأكثر مبيعات (</a:t>
            </a:r>
            <a:r>
              <a:rPr lang="en-US" b="1">
                <a:solidFill>
                  <a:srgbClr val="F2F2F2"/>
                </a:solidFill>
              </a:rPr>
              <a:t>Orders by Area)</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2F2F2"/>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Sheet1!$AF$6</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Sheet1!$AE$7:$AE$16</c:f>
              <c:strCache>
                <c:ptCount val="9"/>
                <c:pt idx="0">
                  <c:v>القاهرة</c:v>
                </c:pt>
                <c:pt idx="1">
                  <c:v>الجيزة</c:v>
                </c:pt>
                <c:pt idx="2">
                  <c:v>القليوبية</c:v>
                </c:pt>
                <c:pt idx="3">
                  <c:v>السويس</c:v>
                </c:pt>
                <c:pt idx="4">
                  <c:v>الإسكندرية</c:v>
                </c:pt>
                <c:pt idx="5">
                  <c:v>البحر الأحمر</c:v>
                </c:pt>
                <c:pt idx="6">
                  <c:v>مطروح</c:v>
                </c:pt>
                <c:pt idx="7">
                  <c:v>أسيوط</c:v>
                </c:pt>
                <c:pt idx="8">
                  <c:v>(blank)</c:v>
                </c:pt>
              </c:strCache>
            </c:strRef>
          </c:cat>
          <c:val>
            <c:numRef>
              <c:f>Sheet1!$AF$7:$AF$16</c:f>
              <c:numCache>
                <c:formatCode>_-* #,##0_-;\-* #,##0_-;_-* "-"??_-;_-@_-</c:formatCode>
                <c:ptCount val="9"/>
                <c:pt idx="0">
                  <c:v>60</c:v>
                </c:pt>
                <c:pt idx="1">
                  <c:v>24</c:v>
                </c:pt>
                <c:pt idx="2">
                  <c:v>11</c:v>
                </c:pt>
                <c:pt idx="3">
                  <c:v>8</c:v>
                </c:pt>
                <c:pt idx="4">
                  <c:v>5</c:v>
                </c:pt>
                <c:pt idx="5">
                  <c:v>3</c:v>
                </c:pt>
                <c:pt idx="6">
                  <c:v>2</c:v>
                </c:pt>
                <c:pt idx="7">
                  <c:v>1</c:v>
                </c:pt>
              </c:numCache>
            </c:numRef>
          </c:val>
          <c:extLst>
            <c:ext xmlns:c16="http://schemas.microsoft.com/office/drawing/2014/chart" uri="{C3380CC4-5D6E-409C-BE32-E72D297353CC}">
              <c16:uniqueId val="{00000000-9576-4F7E-9472-4E2341D1D201}"/>
            </c:ext>
          </c:extLst>
        </c:ser>
        <c:dLbls>
          <c:dLblPos val="outEnd"/>
          <c:showLegendKey val="0"/>
          <c:showVal val="1"/>
          <c:showCatName val="0"/>
          <c:showSerName val="0"/>
          <c:showPercent val="0"/>
          <c:showBubbleSize val="0"/>
        </c:dLbls>
        <c:gapWidth val="182"/>
        <c:axId val="1566762207"/>
        <c:axId val="1566758847"/>
      </c:barChart>
      <c:catAx>
        <c:axId val="1566762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ar-EG"/>
          </a:p>
        </c:txPr>
        <c:crossAx val="1566758847"/>
        <c:crosses val="autoZero"/>
        <c:auto val="1"/>
        <c:lblAlgn val="ctr"/>
        <c:lblOffset val="100"/>
        <c:noMultiLvlLbl val="0"/>
      </c:catAx>
      <c:valAx>
        <c:axId val="1566758847"/>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2F2F2"/>
                </a:solidFill>
                <a:latin typeface="+mn-lt"/>
                <a:ea typeface="+mn-ea"/>
                <a:cs typeface="+mn-cs"/>
              </a:defRPr>
            </a:pPr>
            <a:endParaRPr lang="ar-EG"/>
          </a:p>
        </c:txPr>
        <c:crossAx val="156676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Abdelaziz Usama Mahmoud.xlsx]Sheet1!PivotTable22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F2F2F2"/>
                </a:solidFill>
              </a:rPr>
              <a:t>عدد الأفراد والشركات التي تتعامل معها شركة مسيو </a:t>
            </a:r>
            <a:endParaRPr lang="en-US" b="1">
              <a:solidFill>
                <a:srgbClr val="F2F2F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9.1942475940507432E-2"/>
              <c:y val="6.54126567512394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8622615923009626"/>
              <c:y val="-9.38323855351414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8622615923009626"/>
              <c:y val="-9.38323855351414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942475940507432E-2"/>
              <c:y val="6.54126567512394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60311"/>
          </a:solidFill>
          <a:ln w="19050">
            <a:solidFill>
              <a:schemeClr val="lt1"/>
            </a:solidFill>
          </a:ln>
          <a:effectLst/>
        </c:spPr>
        <c:dLbl>
          <c:idx val="0"/>
          <c:layout>
            <c:manualLayout>
              <c:x val="0.28622615923009626"/>
              <c:y val="-9.38323855351414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21B2D"/>
          </a:solidFill>
          <a:ln w="19050">
            <a:solidFill>
              <a:schemeClr val="lt1"/>
            </a:solidFill>
          </a:ln>
          <a:effectLst/>
        </c:spPr>
        <c:dLbl>
          <c:idx val="0"/>
          <c:layout>
            <c:manualLayout>
              <c:x val="-9.1942475940507432E-2"/>
              <c:y val="6.54126567512394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Sheet1!$AJ$6</c:f>
              <c:strCache>
                <c:ptCount val="1"/>
                <c:pt idx="0">
                  <c:v>Total</c:v>
                </c:pt>
              </c:strCache>
            </c:strRef>
          </c:tx>
          <c:dPt>
            <c:idx val="0"/>
            <c:bubble3D val="0"/>
            <c:spPr>
              <a:solidFill>
                <a:srgbClr val="A60311"/>
              </a:solidFill>
              <a:ln w="19050">
                <a:solidFill>
                  <a:schemeClr val="lt1"/>
                </a:solidFill>
              </a:ln>
              <a:effectLst/>
            </c:spPr>
            <c:extLst>
              <c:ext xmlns:c16="http://schemas.microsoft.com/office/drawing/2014/chart" uri="{C3380CC4-5D6E-409C-BE32-E72D297353CC}">
                <c16:uniqueId val="{00000001-F683-46B0-B6F4-C6AD0D6649E8}"/>
              </c:ext>
            </c:extLst>
          </c:dPt>
          <c:dPt>
            <c:idx val="1"/>
            <c:bubble3D val="0"/>
            <c:spPr>
              <a:solidFill>
                <a:srgbClr val="F21B2D"/>
              </a:solidFill>
              <a:ln w="19050">
                <a:solidFill>
                  <a:schemeClr val="lt1"/>
                </a:solidFill>
              </a:ln>
              <a:effectLst/>
            </c:spPr>
            <c:extLst>
              <c:ext xmlns:c16="http://schemas.microsoft.com/office/drawing/2014/chart" uri="{C3380CC4-5D6E-409C-BE32-E72D297353CC}">
                <c16:uniqueId val="{00000003-F683-46B0-B6F4-C6AD0D6649E8}"/>
              </c:ext>
            </c:extLst>
          </c:dPt>
          <c:dLbls>
            <c:dLbl>
              <c:idx val="0"/>
              <c:layout>
                <c:manualLayout>
                  <c:x val="0.28622615923009626"/>
                  <c:y val="-9.38323855351414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83-46B0-B6F4-C6AD0D6649E8}"/>
                </c:ext>
              </c:extLst>
            </c:dLbl>
            <c:dLbl>
              <c:idx val="1"/>
              <c:layout>
                <c:manualLayout>
                  <c:x val="-9.1942475940507432E-2"/>
                  <c:y val="6.541265675123943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83-46B0-B6F4-C6AD0D6649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2F2F2"/>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Sheet1!$AI$7:$AI$9</c:f>
              <c:strCache>
                <c:ptCount val="2"/>
                <c:pt idx="0">
                  <c:v>افراد</c:v>
                </c:pt>
                <c:pt idx="1">
                  <c:v>شركات</c:v>
                </c:pt>
              </c:strCache>
            </c:strRef>
          </c:cat>
          <c:val>
            <c:numRef>
              <c:f>Sheet1!$AJ$7:$AJ$9</c:f>
              <c:numCache>
                <c:formatCode>_-* #,##0_-;\-* #,##0_-;_-* "-"??_-;_-@_-</c:formatCode>
                <c:ptCount val="2"/>
                <c:pt idx="0">
                  <c:v>73</c:v>
                </c:pt>
                <c:pt idx="1">
                  <c:v>4</c:v>
                </c:pt>
              </c:numCache>
            </c:numRef>
          </c:val>
          <c:extLst>
            <c:ext xmlns:c16="http://schemas.microsoft.com/office/drawing/2014/chart" uri="{C3380CC4-5D6E-409C-BE32-E72D297353CC}">
              <c16:uniqueId val="{00000004-F683-46B0-B6F4-C6AD0D6649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rgbClr val="F2F2F2"/>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104775</xdr:rowOff>
    </xdr:from>
    <xdr:to>
      <xdr:col>26</xdr:col>
      <xdr:colOff>0</xdr:colOff>
      <xdr:row>8</xdr:row>
      <xdr:rowOff>104775</xdr:rowOff>
    </xdr:to>
    <xdr:grpSp>
      <xdr:nvGrpSpPr>
        <xdr:cNvPr id="30" name="Group 29">
          <a:extLst>
            <a:ext uri="{FF2B5EF4-FFF2-40B4-BE49-F238E27FC236}">
              <a16:creationId xmlns:a16="http://schemas.microsoft.com/office/drawing/2014/main" id="{9BF88421-20B2-6F67-B8C3-AC36730D506E}"/>
            </a:ext>
          </a:extLst>
        </xdr:cNvPr>
        <xdr:cNvGrpSpPr/>
      </xdr:nvGrpSpPr>
      <xdr:grpSpPr>
        <a:xfrm>
          <a:off x="114300" y="104775"/>
          <a:ext cx="17896609" cy="1385455"/>
          <a:chOff x="114300" y="104775"/>
          <a:chExt cx="17716500" cy="1447800"/>
        </a:xfrm>
      </xdr:grpSpPr>
      <xdr:sp macro="" textlink="">
        <xdr:nvSpPr>
          <xdr:cNvPr id="2" name="Rectangle: Rounded Corners 1">
            <a:extLst>
              <a:ext uri="{FF2B5EF4-FFF2-40B4-BE49-F238E27FC236}">
                <a16:creationId xmlns:a16="http://schemas.microsoft.com/office/drawing/2014/main" id="{624D32BF-C7CD-A6BA-795D-264A8AA53A9E}"/>
              </a:ext>
            </a:extLst>
          </xdr:cNvPr>
          <xdr:cNvSpPr/>
        </xdr:nvSpPr>
        <xdr:spPr>
          <a:xfrm>
            <a:off x="114300" y="104775"/>
            <a:ext cx="17716500" cy="144780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3" name="TextBox 2">
            <a:extLst>
              <a:ext uri="{FF2B5EF4-FFF2-40B4-BE49-F238E27FC236}">
                <a16:creationId xmlns:a16="http://schemas.microsoft.com/office/drawing/2014/main" id="{462DE5CA-0B56-675E-2E6C-A9201E4615FB}"/>
              </a:ext>
            </a:extLst>
          </xdr:cNvPr>
          <xdr:cNvSpPr txBox="1"/>
        </xdr:nvSpPr>
        <xdr:spPr>
          <a:xfrm>
            <a:off x="352425" y="304800"/>
            <a:ext cx="17278350" cy="1114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6600">
                <a:solidFill>
                  <a:srgbClr val="F2F2F2"/>
                </a:solidFill>
              </a:rPr>
              <a:t>Dashboard</a:t>
            </a:r>
            <a:endParaRPr lang="ar-EG" sz="6600">
              <a:solidFill>
                <a:srgbClr val="F2F2F2"/>
              </a:solidFill>
            </a:endParaRPr>
          </a:p>
        </xdr:txBody>
      </xdr:sp>
      <xdr:pic>
        <xdr:nvPicPr>
          <xdr:cNvPr id="5" name="Picture 4">
            <a:extLst>
              <a:ext uri="{FF2B5EF4-FFF2-40B4-BE49-F238E27FC236}">
                <a16:creationId xmlns:a16="http://schemas.microsoft.com/office/drawing/2014/main" id="{20E49118-DFEF-D171-FBE6-E3330D5CD779}"/>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9620" b="97987" l="6488" r="93289">
                        <a14:foregroundMark x1="7830" y1="14318" x2="59955" y2="13647"/>
                        <a14:foregroundMark x1="59955" y1="13647" x2="89038" y2="33110"/>
                        <a14:foregroundMark x1="89038" y1="33110" x2="87919" y2="74049"/>
                        <a14:foregroundMark x1="87919" y1="74049" x2="44072" y2="86577"/>
                        <a14:foregroundMark x1="44072" y1="86577" x2="6711" y2="81879"/>
                        <a14:foregroundMark x1="6711" y1="81879" x2="17002" y2="17002"/>
                        <a14:foregroundMark x1="54586" y1="14989" x2="89038" y2="24609"/>
                        <a14:foregroundMark x1="89038" y1="24609" x2="89262" y2="40716"/>
                        <a14:foregroundMark x1="57494" y1="12975" x2="92170" y2="19016"/>
                        <a14:foregroundMark x1="58166" y1="14318" x2="92170" y2="14318"/>
                        <a14:foregroundMark x1="46085" y1="91051" x2="83893" y2="91499"/>
                        <a14:foregroundMark x1="83893" y1="91499" x2="92170" y2="61298"/>
                        <a14:foregroundMark x1="7159" y1="74720" x2="55705" y2="94183"/>
                        <a14:foregroundMark x1="55705" y1="94183" x2="63758" y2="93289"/>
                        <a14:foregroundMark x1="12752" y1="38031" x2="6488" y2="81879"/>
                        <a14:foregroundMark x1="6488" y1="81879" x2="44072" y2="96868"/>
                        <a14:foregroundMark x1="44072" y1="96868" x2="90157" y2="76957"/>
                        <a14:foregroundMark x1="90157" y1="76957" x2="76510" y2="44295"/>
                        <a14:foregroundMark x1="76510" y1="44295" x2="14094" y2="38031"/>
                        <a14:foregroundMark x1="15660" y1="48993" x2="48770" y2="78971"/>
                        <a14:foregroundMark x1="48770" y1="78971" x2="87472" y2="63758"/>
                        <a14:foregroundMark x1="87472" y1="63758" x2="46756" y2="48770"/>
                        <a14:foregroundMark x1="46756" y1="48770" x2="21924" y2="51678"/>
                        <a14:foregroundMark x1="21253" y1="52349" x2="64206" y2="80537"/>
                        <a14:foregroundMark x1="64206" y1="80537" x2="51678" y2="48098"/>
                        <a14:foregroundMark x1="51678" y1="48098" x2="13423" y2="53691"/>
                        <a14:foregroundMark x1="13423" y1="53691" x2="7159" y2="61969"/>
                        <a14:foregroundMark x1="87248" y1="37360" x2="48098" y2="88367"/>
                        <a14:foregroundMark x1="48098" y1="88367" x2="9172" y2="56376"/>
                        <a14:foregroundMark x1="9172" y1="56376" x2="71365" y2="42282"/>
                        <a14:foregroundMark x1="71365" y1="42282" x2="84564" y2="80761"/>
                        <a14:foregroundMark x1="84564" y1="80761" x2="37360" y2="87248"/>
                        <a14:foregroundMark x1="37360" y1="87248" x2="15660" y2="50783"/>
                        <a14:foregroundMark x1="15660" y1="50783" x2="68009" y2="46309"/>
                        <a14:foregroundMark x1="68009" y1="46309" x2="73826" y2="74720"/>
                        <a14:foregroundMark x1="55928" y1="45638" x2="60179" y2="39374"/>
                        <a14:foregroundMark x1="51007" y1="37360" x2="43177" y2="80089"/>
                        <a14:foregroundMark x1="43177" y1="80089" x2="64206" y2="41387"/>
                        <a14:foregroundMark x1="64206" y1="41387" x2="59508" y2="31991"/>
                        <a14:foregroundMark x1="90157" y1="71365" x2="87919" y2="97987"/>
                        <a14:foregroundMark x1="82327" y1="25951" x2="74944" y2="91275"/>
                        <a14:foregroundMark x1="74944" y1="91275" x2="26174" y2="74497"/>
                        <a14:foregroundMark x1="26174" y1="74497" x2="18121" y2="36913"/>
                        <a14:foregroundMark x1="18121" y1="36913" x2="58166" y2="28412"/>
                        <a14:foregroundMark x1="58166" y1="28412" x2="74497" y2="72260"/>
                        <a14:foregroundMark x1="74497" y1="72260" x2="12081" y2="87696"/>
                        <a14:foregroundMark x1="11409" y1="34004" x2="9396" y2="80089"/>
                        <a14:foregroundMark x1="9396" y1="80089" x2="59955" y2="91499"/>
                        <a14:foregroundMark x1="59955" y1="91499" x2="93289" y2="65772"/>
                        <a14:foregroundMark x1="93289" y1="65772" x2="69799" y2="37360"/>
                        <a14:foregroundMark x1="69799" y1="37360" x2="29306" y2="34899"/>
                        <a14:foregroundMark x1="29306" y1="34899" x2="14989" y2="38031"/>
                        <a14:foregroundMark x1="46085" y1="44966" x2="17897" y2="80313"/>
                        <a14:foregroundMark x1="17897" y1="80313" x2="64653" y2="82103"/>
                        <a14:foregroundMark x1="64653" y1="82103" x2="65772" y2="47651"/>
                        <a14:foregroundMark x1="65772" y1="47651" x2="55928" y2="38702"/>
                        <a14:foregroundMark x1="60179" y1="42953" x2="32886" y2="75168"/>
                        <a14:foregroundMark x1="32886" y1="75168" x2="61074" y2="56376"/>
                        <a14:foregroundMark x1="40492" y1="46309" x2="10291" y2="80984"/>
                        <a14:foregroundMark x1="10291" y1="80984" x2="53244" y2="92617"/>
                        <a14:foregroundMark x1="53244" y1="92617" x2="65548" y2="53468"/>
                        <a14:foregroundMark x1="65548" y1="53468" x2="30425" y2="43624"/>
                        <a14:foregroundMark x1="30425" y1="43624" x2="30425" y2="43624"/>
                        <a14:foregroundMark x1="55928" y1="48322" x2="10515" y2="73826"/>
                        <a14:foregroundMark x1="10515" y1="73826" x2="48098" y2="70022"/>
                        <a14:foregroundMark x1="48098" y1="70022" x2="53244" y2="42953"/>
                        <a14:foregroundMark x1="40492" y1="70022" x2="41834" y2="70694"/>
                        <a14:foregroundMark x1="37584" y1="76286" x2="47427" y2="85011"/>
                        <a14:foregroundMark x1="36913" y1="65324" x2="38926" y2="70694"/>
                        <a14:foregroundMark x1="27740" y1="65996" x2="31991" y2="60626"/>
                        <a14:foregroundMark x1="15660" y1="74720" x2="58166" y2="86353"/>
                        <a14:backgroundMark x1="2237" y1="4698" x2="78029" y2="11108"/>
                      </a14:backgroundRemoval>
                    </a14:imgEffect>
                  </a14:imgLayer>
                </a14:imgProps>
              </a:ext>
              <a:ext uri="{28A0092B-C50C-407E-A947-70E740481C1C}">
                <a14:useLocalDpi xmlns:a14="http://schemas.microsoft.com/office/drawing/2010/main" val="0"/>
              </a:ext>
            </a:extLst>
          </a:blip>
          <a:stretch>
            <a:fillRect/>
          </a:stretch>
        </xdr:blipFill>
        <xdr:spPr>
          <a:xfrm>
            <a:off x="447676" y="133351"/>
            <a:ext cx="1343024" cy="1400174"/>
          </a:xfrm>
          <a:prstGeom prst="rect">
            <a:avLst/>
          </a:prstGeom>
          <a:ln>
            <a:noFill/>
          </a:ln>
        </xdr:spPr>
      </xdr:pic>
    </xdr:grpSp>
    <xdr:clientData/>
  </xdr:twoCellAnchor>
  <xdr:twoCellAnchor>
    <xdr:from>
      <xdr:col>3</xdr:col>
      <xdr:colOff>419100</xdr:colOff>
      <xdr:row>9</xdr:row>
      <xdr:rowOff>28575</xdr:rowOff>
    </xdr:from>
    <xdr:to>
      <xdr:col>8</xdr:col>
      <xdr:colOff>677551</xdr:colOff>
      <xdr:row>14</xdr:row>
      <xdr:rowOff>28575</xdr:rowOff>
    </xdr:to>
    <xdr:grpSp>
      <xdr:nvGrpSpPr>
        <xdr:cNvPr id="14" name="Group 13">
          <a:extLst>
            <a:ext uri="{FF2B5EF4-FFF2-40B4-BE49-F238E27FC236}">
              <a16:creationId xmlns:a16="http://schemas.microsoft.com/office/drawing/2014/main" id="{B316AC5B-5489-0002-2CFB-580DA93122E9}"/>
            </a:ext>
          </a:extLst>
        </xdr:cNvPr>
        <xdr:cNvGrpSpPr/>
      </xdr:nvGrpSpPr>
      <xdr:grpSpPr>
        <a:xfrm>
          <a:off x="2497282" y="1587211"/>
          <a:ext cx="3722087" cy="865909"/>
          <a:chOff x="2686050" y="1657350"/>
          <a:chExt cx="3687451" cy="904875"/>
        </a:xfrm>
      </xdr:grpSpPr>
      <xdr:sp macro="" textlink="Sheet1!A9">
        <xdr:nvSpPr>
          <xdr:cNvPr id="6" name="Rectangle: Rounded Corners 5">
            <a:extLst>
              <a:ext uri="{FF2B5EF4-FFF2-40B4-BE49-F238E27FC236}">
                <a16:creationId xmlns:a16="http://schemas.microsoft.com/office/drawing/2014/main" id="{2F2908A6-522E-D315-1FE8-B962B102B982}"/>
              </a:ext>
            </a:extLst>
          </xdr:cNvPr>
          <xdr:cNvSpPr/>
        </xdr:nvSpPr>
        <xdr:spPr>
          <a:xfrm>
            <a:off x="2686050" y="1676400"/>
            <a:ext cx="3668400" cy="8858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6F1F9219-E316-4036-9413-03861F56E313}" type="TxLink">
              <a:rPr lang="en-US" sz="2800" b="0" i="0" u="none" strike="noStrike">
                <a:solidFill>
                  <a:srgbClr val="F2F2F2"/>
                </a:solidFill>
                <a:latin typeface="Arial"/>
                <a:cs typeface="Arial"/>
              </a:rPr>
              <a:pPr algn="ctr"/>
              <a:t> 1,292,886 </a:t>
            </a:fld>
            <a:endParaRPr lang="ar-EG" sz="2800">
              <a:solidFill>
                <a:srgbClr val="F2F2F2"/>
              </a:solidFill>
            </a:endParaRPr>
          </a:p>
        </xdr:txBody>
      </xdr:sp>
      <xdr:sp macro="" textlink="">
        <xdr:nvSpPr>
          <xdr:cNvPr id="7" name="TextBox 6">
            <a:extLst>
              <a:ext uri="{FF2B5EF4-FFF2-40B4-BE49-F238E27FC236}">
                <a16:creationId xmlns:a16="http://schemas.microsoft.com/office/drawing/2014/main" id="{71B9F48A-BB2B-076F-7E3C-61E54CA59001}"/>
              </a:ext>
            </a:extLst>
          </xdr:cNvPr>
          <xdr:cNvSpPr txBox="1"/>
        </xdr:nvSpPr>
        <xdr:spPr>
          <a:xfrm>
            <a:off x="2705101" y="1657350"/>
            <a:ext cx="36684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ar-EG" sz="1800" b="1">
                <a:ln>
                  <a:noFill/>
                </a:ln>
                <a:solidFill>
                  <a:srgbClr val="F2F2F2"/>
                </a:solidFill>
              </a:rPr>
              <a:t>إجمالي المبيعات </a:t>
            </a:r>
            <a:r>
              <a:rPr lang="en-US" sz="1800" b="1">
                <a:ln>
                  <a:noFill/>
                </a:ln>
                <a:solidFill>
                  <a:srgbClr val="F2F2F2"/>
                </a:solidFill>
              </a:rPr>
              <a:t>(Total Sales)</a:t>
            </a:r>
            <a:endParaRPr lang="ar-EG" sz="1800" b="1">
              <a:ln>
                <a:noFill/>
              </a:ln>
              <a:solidFill>
                <a:srgbClr val="F2F2F2"/>
              </a:solidFill>
            </a:endParaRPr>
          </a:p>
        </xdr:txBody>
      </xdr:sp>
    </xdr:grpSp>
    <xdr:clientData/>
  </xdr:twoCellAnchor>
  <xdr:twoCellAnchor>
    <xdr:from>
      <xdr:col>9</xdr:col>
      <xdr:colOff>208190</xdr:colOff>
      <xdr:row>9</xdr:row>
      <xdr:rowOff>28575</xdr:rowOff>
    </xdr:from>
    <xdr:to>
      <xdr:col>14</xdr:col>
      <xdr:colOff>461197</xdr:colOff>
      <xdr:row>14</xdr:row>
      <xdr:rowOff>28575</xdr:rowOff>
    </xdr:to>
    <xdr:grpSp>
      <xdr:nvGrpSpPr>
        <xdr:cNvPr id="15" name="Group 14">
          <a:extLst>
            <a:ext uri="{FF2B5EF4-FFF2-40B4-BE49-F238E27FC236}">
              <a16:creationId xmlns:a16="http://schemas.microsoft.com/office/drawing/2014/main" id="{087FB384-9815-E92C-5935-F58DD7678AE5}"/>
            </a:ext>
          </a:extLst>
        </xdr:cNvPr>
        <xdr:cNvGrpSpPr/>
      </xdr:nvGrpSpPr>
      <xdr:grpSpPr>
        <a:xfrm>
          <a:off x="6442735" y="1587211"/>
          <a:ext cx="3716644" cy="865909"/>
          <a:chOff x="6419850" y="1676400"/>
          <a:chExt cx="3687451" cy="904875"/>
        </a:xfrm>
      </xdr:grpSpPr>
      <xdr:sp macro="" textlink="Sheet1!D9">
        <xdr:nvSpPr>
          <xdr:cNvPr id="8" name="Rectangle: Rounded Corners 7">
            <a:extLst>
              <a:ext uri="{FF2B5EF4-FFF2-40B4-BE49-F238E27FC236}">
                <a16:creationId xmlns:a16="http://schemas.microsoft.com/office/drawing/2014/main" id="{E01CC406-0ED9-9F43-D718-4EBB213166A9}"/>
              </a:ext>
            </a:extLst>
          </xdr:cNvPr>
          <xdr:cNvSpPr/>
        </xdr:nvSpPr>
        <xdr:spPr>
          <a:xfrm>
            <a:off x="6419850" y="1695450"/>
            <a:ext cx="3668400" cy="8858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96B6125B-9D4D-4AD8-B011-0F14AC41E76D}" type="TxLink">
              <a:rPr lang="en-US" sz="2800" b="0" i="0" u="none" strike="noStrike">
                <a:solidFill>
                  <a:srgbClr val="F2F2F2"/>
                </a:solidFill>
                <a:latin typeface="Arial"/>
                <a:cs typeface="Arial"/>
              </a:rPr>
              <a:pPr algn="ctr"/>
              <a:t>152</a:t>
            </a:fld>
            <a:endParaRPr lang="ar-EG" sz="6000">
              <a:solidFill>
                <a:srgbClr val="F2F2F2"/>
              </a:solidFill>
            </a:endParaRPr>
          </a:p>
        </xdr:txBody>
      </xdr:sp>
      <xdr:sp macro="" textlink="">
        <xdr:nvSpPr>
          <xdr:cNvPr id="9" name="TextBox 8">
            <a:extLst>
              <a:ext uri="{FF2B5EF4-FFF2-40B4-BE49-F238E27FC236}">
                <a16:creationId xmlns:a16="http://schemas.microsoft.com/office/drawing/2014/main" id="{098D1452-DF1D-1865-9B66-96E6DD0A4D13}"/>
              </a:ext>
            </a:extLst>
          </xdr:cNvPr>
          <xdr:cNvSpPr txBox="1"/>
        </xdr:nvSpPr>
        <xdr:spPr>
          <a:xfrm>
            <a:off x="6438901" y="1676400"/>
            <a:ext cx="36684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ar-EG" sz="1800" b="1">
                <a:ln>
                  <a:noFill/>
                </a:ln>
                <a:solidFill>
                  <a:srgbClr val="F2F2F2"/>
                </a:solidFill>
              </a:rPr>
              <a:t>عدد الطلبات </a:t>
            </a:r>
            <a:r>
              <a:rPr lang="en-US" sz="1800" b="1">
                <a:ln>
                  <a:noFill/>
                </a:ln>
                <a:solidFill>
                  <a:srgbClr val="F2F2F2"/>
                </a:solidFill>
              </a:rPr>
              <a:t> (Total Orders) </a:t>
            </a:r>
            <a:endParaRPr lang="ar-EG" sz="1800" b="1">
              <a:ln>
                <a:noFill/>
              </a:ln>
              <a:solidFill>
                <a:srgbClr val="F2F2F2"/>
              </a:solidFill>
            </a:endParaRPr>
          </a:p>
        </xdr:txBody>
      </xdr:sp>
    </xdr:grpSp>
    <xdr:clientData/>
  </xdr:twoCellAnchor>
  <xdr:twoCellAnchor>
    <xdr:from>
      <xdr:col>20</xdr:col>
      <xdr:colOff>291193</xdr:colOff>
      <xdr:row>9</xdr:row>
      <xdr:rowOff>28575</xdr:rowOff>
    </xdr:from>
    <xdr:to>
      <xdr:col>25</xdr:col>
      <xdr:colOff>653143</xdr:colOff>
      <xdr:row>14</xdr:row>
      <xdr:rowOff>9525</xdr:rowOff>
    </xdr:to>
    <xdr:grpSp>
      <xdr:nvGrpSpPr>
        <xdr:cNvPr id="16" name="Group 15">
          <a:extLst>
            <a:ext uri="{FF2B5EF4-FFF2-40B4-BE49-F238E27FC236}">
              <a16:creationId xmlns:a16="http://schemas.microsoft.com/office/drawing/2014/main" id="{B74069A2-1F00-432D-C041-859D3B9DDA30}"/>
            </a:ext>
          </a:extLst>
        </xdr:cNvPr>
        <xdr:cNvGrpSpPr/>
      </xdr:nvGrpSpPr>
      <xdr:grpSpPr>
        <a:xfrm>
          <a:off x="14145738" y="1587211"/>
          <a:ext cx="3825587" cy="846859"/>
          <a:chOff x="10125075" y="1695450"/>
          <a:chExt cx="3790950" cy="885825"/>
        </a:xfrm>
      </xdr:grpSpPr>
      <xdr:sp macro="" textlink="Sheet1!G9">
        <xdr:nvSpPr>
          <xdr:cNvPr id="10" name="Rectangle: Rounded Corners 9">
            <a:extLst>
              <a:ext uri="{FF2B5EF4-FFF2-40B4-BE49-F238E27FC236}">
                <a16:creationId xmlns:a16="http://schemas.microsoft.com/office/drawing/2014/main" id="{1ADEC9EA-7CF1-281A-AEB2-7E4C593024BF}"/>
              </a:ext>
            </a:extLst>
          </xdr:cNvPr>
          <xdr:cNvSpPr/>
        </xdr:nvSpPr>
        <xdr:spPr>
          <a:xfrm>
            <a:off x="10172700" y="1695450"/>
            <a:ext cx="3668400" cy="8858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8657E21F-4062-4763-8681-4D79FE91C5BD}" type="TxLink">
              <a:rPr lang="en-US" sz="2800" b="0" i="0" u="none" strike="noStrike">
                <a:solidFill>
                  <a:srgbClr val="F2F2F2"/>
                </a:solidFill>
                <a:latin typeface="Arial"/>
                <a:cs typeface="Arial"/>
              </a:rPr>
              <a:pPr algn="ctr"/>
              <a:t> 10,261 </a:t>
            </a:fld>
            <a:endParaRPr lang="ar-EG" sz="6000">
              <a:solidFill>
                <a:srgbClr val="F2F2F2"/>
              </a:solidFill>
            </a:endParaRPr>
          </a:p>
        </xdr:txBody>
      </xdr:sp>
      <xdr:sp macro="" textlink="">
        <xdr:nvSpPr>
          <xdr:cNvPr id="11" name="TextBox 10">
            <a:extLst>
              <a:ext uri="{FF2B5EF4-FFF2-40B4-BE49-F238E27FC236}">
                <a16:creationId xmlns:a16="http://schemas.microsoft.com/office/drawing/2014/main" id="{73A1DC68-E900-00E3-9840-26252104AECD}"/>
              </a:ext>
            </a:extLst>
          </xdr:cNvPr>
          <xdr:cNvSpPr txBox="1"/>
        </xdr:nvSpPr>
        <xdr:spPr>
          <a:xfrm>
            <a:off x="10125075" y="1695450"/>
            <a:ext cx="37909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ar-EG" sz="1800" b="1">
                <a:ln>
                  <a:noFill/>
                </a:ln>
                <a:solidFill>
                  <a:srgbClr val="F2F2F2"/>
                </a:solidFill>
              </a:rPr>
              <a:t>متوسط سعر البيع </a:t>
            </a:r>
            <a:r>
              <a:rPr lang="en-US" sz="1800" b="1">
                <a:ln>
                  <a:noFill/>
                </a:ln>
                <a:solidFill>
                  <a:srgbClr val="F2F2F2"/>
                </a:solidFill>
              </a:rPr>
              <a:t>(Average Selling Price)</a:t>
            </a:r>
            <a:endParaRPr lang="ar-EG" sz="1800" b="1">
              <a:ln>
                <a:noFill/>
              </a:ln>
              <a:solidFill>
                <a:srgbClr val="F2F2F2"/>
              </a:solidFill>
            </a:endParaRPr>
          </a:p>
        </xdr:txBody>
      </xdr:sp>
    </xdr:grpSp>
    <xdr:clientData/>
  </xdr:twoCellAnchor>
  <xdr:twoCellAnchor>
    <xdr:from>
      <xdr:col>3</xdr:col>
      <xdr:colOff>419100</xdr:colOff>
      <xdr:row>16</xdr:row>
      <xdr:rowOff>95250</xdr:rowOff>
    </xdr:from>
    <xdr:to>
      <xdr:col>10</xdr:col>
      <xdr:colOff>685799</xdr:colOff>
      <xdr:row>33</xdr:row>
      <xdr:rowOff>133350</xdr:rowOff>
    </xdr:to>
    <xdr:grpSp>
      <xdr:nvGrpSpPr>
        <xdr:cNvPr id="33" name="Group 32">
          <a:extLst>
            <a:ext uri="{FF2B5EF4-FFF2-40B4-BE49-F238E27FC236}">
              <a16:creationId xmlns:a16="http://schemas.microsoft.com/office/drawing/2014/main" id="{EA64DD4C-528D-FC07-F3E6-EF1C011512E5}"/>
            </a:ext>
          </a:extLst>
        </xdr:cNvPr>
        <xdr:cNvGrpSpPr/>
      </xdr:nvGrpSpPr>
      <xdr:grpSpPr>
        <a:xfrm>
          <a:off x="2497282" y="2866159"/>
          <a:ext cx="5115790" cy="2982191"/>
          <a:chOff x="4676775" y="4133850"/>
          <a:chExt cx="5067299" cy="3114675"/>
        </a:xfrm>
      </xdr:grpSpPr>
      <xdr:sp macro="" textlink="">
        <xdr:nvSpPr>
          <xdr:cNvPr id="32" name="Rectangle: Rounded Corners 31">
            <a:extLst>
              <a:ext uri="{FF2B5EF4-FFF2-40B4-BE49-F238E27FC236}">
                <a16:creationId xmlns:a16="http://schemas.microsoft.com/office/drawing/2014/main" id="{A02105EA-2353-1EEB-F42D-9DD5DC5290BC}"/>
              </a:ext>
            </a:extLst>
          </xdr:cNvPr>
          <xdr:cNvSpPr/>
        </xdr:nvSpPr>
        <xdr:spPr>
          <a:xfrm>
            <a:off x="4676775" y="4133850"/>
            <a:ext cx="5067299" cy="311467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31" name="Chart 30">
            <a:extLst>
              <a:ext uri="{FF2B5EF4-FFF2-40B4-BE49-F238E27FC236}">
                <a16:creationId xmlns:a16="http://schemas.microsoft.com/office/drawing/2014/main" id="{71791FB4-AB94-4EF4-A840-6B61495997FE}"/>
              </a:ext>
            </a:extLst>
          </xdr:cNvPr>
          <xdr:cNvGraphicFramePr>
            <a:graphicFrameLocks/>
          </xdr:cNvGraphicFramePr>
        </xdr:nvGraphicFramePr>
        <xdr:xfrm>
          <a:off x="4762499" y="4276724"/>
          <a:ext cx="4810125" cy="292417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11</xdr:col>
      <xdr:colOff>228600</xdr:colOff>
      <xdr:row>16</xdr:row>
      <xdr:rowOff>123825</xdr:rowOff>
    </xdr:from>
    <xdr:to>
      <xdr:col>18</xdr:col>
      <xdr:colOff>495299</xdr:colOff>
      <xdr:row>33</xdr:row>
      <xdr:rowOff>161925</xdr:rowOff>
    </xdr:to>
    <xdr:grpSp>
      <xdr:nvGrpSpPr>
        <xdr:cNvPr id="44" name="Group 43">
          <a:extLst>
            <a:ext uri="{FF2B5EF4-FFF2-40B4-BE49-F238E27FC236}">
              <a16:creationId xmlns:a16="http://schemas.microsoft.com/office/drawing/2014/main" id="{F91D142F-A517-0332-D0B6-641604F337B4}"/>
            </a:ext>
          </a:extLst>
        </xdr:cNvPr>
        <xdr:cNvGrpSpPr/>
      </xdr:nvGrpSpPr>
      <xdr:grpSpPr>
        <a:xfrm>
          <a:off x="7848600" y="2894734"/>
          <a:ext cx="5115790" cy="2982191"/>
          <a:chOff x="7772400" y="3019425"/>
          <a:chExt cx="5067299" cy="3114675"/>
        </a:xfrm>
      </xdr:grpSpPr>
      <xdr:sp macro="" textlink="">
        <xdr:nvSpPr>
          <xdr:cNvPr id="35" name="Rectangle: Rounded Corners 34">
            <a:extLst>
              <a:ext uri="{FF2B5EF4-FFF2-40B4-BE49-F238E27FC236}">
                <a16:creationId xmlns:a16="http://schemas.microsoft.com/office/drawing/2014/main" id="{57D57A09-DC00-E854-CF91-97F92A4724BD}"/>
              </a:ext>
            </a:extLst>
          </xdr:cNvPr>
          <xdr:cNvSpPr/>
        </xdr:nvSpPr>
        <xdr:spPr>
          <a:xfrm>
            <a:off x="7772400" y="3019425"/>
            <a:ext cx="5067299" cy="311467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37" name="Chart 36">
            <a:extLst>
              <a:ext uri="{FF2B5EF4-FFF2-40B4-BE49-F238E27FC236}">
                <a16:creationId xmlns:a16="http://schemas.microsoft.com/office/drawing/2014/main" id="{98A5C91A-84AF-44DE-87AD-DD5923E7D157}"/>
              </a:ext>
            </a:extLst>
          </xdr:cNvPr>
          <xdr:cNvGraphicFramePr>
            <a:graphicFrameLocks/>
          </xdr:cNvGraphicFramePr>
        </xdr:nvGraphicFramePr>
        <xdr:xfrm>
          <a:off x="7839074" y="3105150"/>
          <a:ext cx="4867275" cy="29908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19</xdr:col>
      <xdr:colOff>219075</xdr:colOff>
      <xdr:row>16</xdr:row>
      <xdr:rowOff>114300</xdr:rowOff>
    </xdr:from>
    <xdr:to>
      <xdr:col>26</xdr:col>
      <xdr:colOff>485774</xdr:colOff>
      <xdr:row>33</xdr:row>
      <xdr:rowOff>152400</xdr:rowOff>
    </xdr:to>
    <xdr:grpSp>
      <xdr:nvGrpSpPr>
        <xdr:cNvPr id="45" name="Group 44">
          <a:extLst>
            <a:ext uri="{FF2B5EF4-FFF2-40B4-BE49-F238E27FC236}">
              <a16:creationId xmlns:a16="http://schemas.microsoft.com/office/drawing/2014/main" id="{300E4366-BD62-1E7A-9D91-B1FCBE4D03F2}"/>
            </a:ext>
          </a:extLst>
        </xdr:cNvPr>
        <xdr:cNvGrpSpPr/>
      </xdr:nvGrpSpPr>
      <xdr:grpSpPr>
        <a:xfrm>
          <a:off x="13380893" y="2885209"/>
          <a:ext cx="5115790" cy="2982191"/>
          <a:chOff x="13249275" y="3009900"/>
          <a:chExt cx="5067299" cy="3114675"/>
        </a:xfrm>
      </xdr:grpSpPr>
      <xdr:sp macro="" textlink="">
        <xdr:nvSpPr>
          <xdr:cNvPr id="39" name="Rectangle: Rounded Corners 38">
            <a:extLst>
              <a:ext uri="{FF2B5EF4-FFF2-40B4-BE49-F238E27FC236}">
                <a16:creationId xmlns:a16="http://schemas.microsoft.com/office/drawing/2014/main" id="{305C8DA7-C4EB-D36D-CF44-C3E8C6410F33}"/>
              </a:ext>
            </a:extLst>
          </xdr:cNvPr>
          <xdr:cNvSpPr/>
        </xdr:nvSpPr>
        <xdr:spPr>
          <a:xfrm>
            <a:off x="13249275" y="3009900"/>
            <a:ext cx="5067299" cy="311467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40" name="Chart 39">
            <a:extLst>
              <a:ext uri="{FF2B5EF4-FFF2-40B4-BE49-F238E27FC236}">
                <a16:creationId xmlns:a16="http://schemas.microsoft.com/office/drawing/2014/main" id="{DBADD0C7-949D-4A0B-BD3A-A9EAF81F140E}"/>
              </a:ext>
            </a:extLst>
          </xdr:cNvPr>
          <xdr:cNvGraphicFramePr>
            <a:graphicFrameLocks/>
          </xdr:cNvGraphicFramePr>
        </xdr:nvGraphicFramePr>
        <xdr:xfrm>
          <a:off x="13268325" y="3028950"/>
          <a:ext cx="5010150" cy="305752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304800</xdr:colOff>
      <xdr:row>52</xdr:row>
      <xdr:rowOff>28575</xdr:rowOff>
    </xdr:from>
    <xdr:to>
      <xdr:col>10</xdr:col>
      <xdr:colOff>571499</xdr:colOff>
      <xdr:row>69</xdr:row>
      <xdr:rowOff>66675</xdr:rowOff>
    </xdr:to>
    <xdr:grpSp>
      <xdr:nvGrpSpPr>
        <xdr:cNvPr id="49" name="Group 48">
          <a:extLst>
            <a:ext uri="{FF2B5EF4-FFF2-40B4-BE49-F238E27FC236}">
              <a16:creationId xmlns:a16="http://schemas.microsoft.com/office/drawing/2014/main" id="{1295911D-F687-D7FD-AF91-ACF5671D479B}"/>
            </a:ext>
          </a:extLst>
        </xdr:cNvPr>
        <xdr:cNvGrpSpPr/>
      </xdr:nvGrpSpPr>
      <xdr:grpSpPr>
        <a:xfrm>
          <a:off x="2382982" y="9034030"/>
          <a:ext cx="5115790" cy="2982190"/>
          <a:chOff x="2428875" y="6334125"/>
          <a:chExt cx="5067299" cy="3114675"/>
        </a:xfrm>
      </xdr:grpSpPr>
      <xdr:sp macro="" textlink="">
        <xdr:nvSpPr>
          <xdr:cNvPr id="41" name="Rectangle: Rounded Corners 40">
            <a:extLst>
              <a:ext uri="{FF2B5EF4-FFF2-40B4-BE49-F238E27FC236}">
                <a16:creationId xmlns:a16="http://schemas.microsoft.com/office/drawing/2014/main" id="{06C0B3AD-7FC6-38E8-40A8-2D75C88E48D2}"/>
              </a:ext>
            </a:extLst>
          </xdr:cNvPr>
          <xdr:cNvSpPr/>
        </xdr:nvSpPr>
        <xdr:spPr>
          <a:xfrm>
            <a:off x="2428875" y="6334125"/>
            <a:ext cx="5067299" cy="311467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46" name="Chart 45">
            <a:extLst>
              <a:ext uri="{FF2B5EF4-FFF2-40B4-BE49-F238E27FC236}">
                <a16:creationId xmlns:a16="http://schemas.microsoft.com/office/drawing/2014/main" id="{D7A50AF8-BCBF-40B8-ADDC-E5949CBDBA51}"/>
              </a:ext>
            </a:extLst>
          </xdr:cNvPr>
          <xdr:cNvGraphicFramePr>
            <a:graphicFrameLocks/>
          </xdr:cNvGraphicFramePr>
        </xdr:nvGraphicFramePr>
        <xdr:xfrm>
          <a:off x="2590800" y="6410325"/>
          <a:ext cx="4819650" cy="296227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11</xdr:col>
      <xdr:colOff>276225</xdr:colOff>
      <xdr:row>52</xdr:row>
      <xdr:rowOff>28575</xdr:rowOff>
    </xdr:from>
    <xdr:to>
      <xdr:col>18</xdr:col>
      <xdr:colOff>542924</xdr:colOff>
      <xdr:row>69</xdr:row>
      <xdr:rowOff>66675</xdr:rowOff>
    </xdr:to>
    <xdr:grpSp>
      <xdr:nvGrpSpPr>
        <xdr:cNvPr id="50" name="Group 49">
          <a:extLst>
            <a:ext uri="{FF2B5EF4-FFF2-40B4-BE49-F238E27FC236}">
              <a16:creationId xmlns:a16="http://schemas.microsoft.com/office/drawing/2014/main" id="{4B89BC85-CB0E-9951-1DED-AF328C88B8C3}"/>
            </a:ext>
          </a:extLst>
        </xdr:cNvPr>
        <xdr:cNvGrpSpPr/>
      </xdr:nvGrpSpPr>
      <xdr:grpSpPr>
        <a:xfrm>
          <a:off x="7896225" y="9034030"/>
          <a:ext cx="5115790" cy="2982190"/>
          <a:chOff x="7839075" y="6343650"/>
          <a:chExt cx="5067299" cy="3114675"/>
        </a:xfrm>
      </xdr:grpSpPr>
      <xdr:sp macro="" textlink="">
        <xdr:nvSpPr>
          <xdr:cNvPr id="42" name="Rectangle: Rounded Corners 41">
            <a:extLst>
              <a:ext uri="{FF2B5EF4-FFF2-40B4-BE49-F238E27FC236}">
                <a16:creationId xmlns:a16="http://schemas.microsoft.com/office/drawing/2014/main" id="{6597AA91-AD0B-F7DC-F6EA-FDF24FC8A91D}"/>
              </a:ext>
            </a:extLst>
          </xdr:cNvPr>
          <xdr:cNvSpPr/>
        </xdr:nvSpPr>
        <xdr:spPr>
          <a:xfrm>
            <a:off x="7839075" y="6343650"/>
            <a:ext cx="5067299" cy="311467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47" name="Chart 46">
            <a:extLst>
              <a:ext uri="{FF2B5EF4-FFF2-40B4-BE49-F238E27FC236}">
                <a16:creationId xmlns:a16="http://schemas.microsoft.com/office/drawing/2014/main" id="{CF677B90-718B-49E2-AE06-2604E2CC48B7}"/>
              </a:ext>
            </a:extLst>
          </xdr:cNvPr>
          <xdr:cNvGraphicFramePr>
            <a:graphicFrameLocks/>
          </xdr:cNvGraphicFramePr>
        </xdr:nvGraphicFramePr>
        <xdr:xfrm>
          <a:off x="7943850" y="6372225"/>
          <a:ext cx="4886325" cy="307657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19</xdr:col>
      <xdr:colOff>247650</xdr:colOff>
      <xdr:row>52</xdr:row>
      <xdr:rowOff>28575</xdr:rowOff>
    </xdr:from>
    <xdr:to>
      <xdr:col>26</xdr:col>
      <xdr:colOff>514349</xdr:colOff>
      <xdr:row>69</xdr:row>
      <xdr:rowOff>66675</xdr:rowOff>
    </xdr:to>
    <xdr:grpSp>
      <xdr:nvGrpSpPr>
        <xdr:cNvPr id="51" name="Group 50">
          <a:extLst>
            <a:ext uri="{FF2B5EF4-FFF2-40B4-BE49-F238E27FC236}">
              <a16:creationId xmlns:a16="http://schemas.microsoft.com/office/drawing/2014/main" id="{9F3DB871-4198-835D-E6A6-A1AA49CC4A92}"/>
            </a:ext>
          </a:extLst>
        </xdr:cNvPr>
        <xdr:cNvGrpSpPr/>
      </xdr:nvGrpSpPr>
      <xdr:grpSpPr>
        <a:xfrm>
          <a:off x="13409468" y="9034030"/>
          <a:ext cx="5115790" cy="2982190"/>
          <a:chOff x="13344525" y="6296025"/>
          <a:chExt cx="5067299" cy="3114675"/>
        </a:xfrm>
      </xdr:grpSpPr>
      <xdr:sp macro="" textlink="">
        <xdr:nvSpPr>
          <xdr:cNvPr id="43" name="Rectangle: Rounded Corners 42">
            <a:extLst>
              <a:ext uri="{FF2B5EF4-FFF2-40B4-BE49-F238E27FC236}">
                <a16:creationId xmlns:a16="http://schemas.microsoft.com/office/drawing/2014/main" id="{BB7FD049-3720-B937-19D1-C14B3B8FB888}"/>
              </a:ext>
            </a:extLst>
          </xdr:cNvPr>
          <xdr:cNvSpPr/>
        </xdr:nvSpPr>
        <xdr:spPr>
          <a:xfrm>
            <a:off x="13344525" y="6296025"/>
            <a:ext cx="5067299" cy="311467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48" name="Chart 47">
            <a:extLst>
              <a:ext uri="{FF2B5EF4-FFF2-40B4-BE49-F238E27FC236}">
                <a16:creationId xmlns:a16="http://schemas.microsoft.com/office/drawing/2014/main" id="{6D1B016A-C54E-4582-A389-65E1049F1136}"/>
              </a:ext>
            </a:extLst>
          </xdr:cNvPr>
          <xdr:cNvGraphicFramePr>
            <a:graphicFrameLocks/>
          </xdr:cNvGraphicFramePr>
        </xdr:nvGraphicFramePr>
        <xdr:xfrm>
          <a:off x="13449300" y="6410325"/>
          <a:ext cx="4838700" cy="29337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11</xdr:col>
      <xdr:colOff>247650</xdr:colOff>
      <xdr:row>34</xdr:row>
      <xdr:rowOff>76200</xdr:rowOff>
    </xdr:from>
    <xdr:to>
      <xdr:col>18</xdr:col>
      <xdr:colOff>514349</xdr:colOff>
      <xdr:row>51</xdr:row>
      <xdr:rowOff>114300</xdr:rowOff>
    </xdr:to>
    <xdr:grpSp>
      <xdr:nvGrpSpPr>
        <xdr:cNvPr id="57" name="Group 56">
          <a:extLst>
            <a:ext uri="{FF2B5EF4-FFF2-40B4-BE49-F238E27FC236}">
              <a16:creationId xmlns:a16="http://schemas.microsoft.com/office/drawing/2014/main" id="{170F0511-A6A4-B7A3-2EFF-FC511E4EAFDE}"/>
            </a:ext>
          </a:extLst>
        </xdr:cNvPr>
        <xdr:cNvGrpSpPr/>
      </xdr:nvGrpSpPr>
      <xdr:grpSpPr>
        <a:xfrm>
          <a:off x="7867650" y="5964382"/>
          <a:ext cx="5115790" cy="2982191"/>
          <a:chOff x="7731579" y="6090557"/>
          <a:chExt cx="5029199" cy="3045279"/>
        </a:xfrm>
      </xdr:grpSpPr>
      <xdr:sp macro="" textlink="">
        <xdr:nvSpPr>
          <xdr:cNvPr id="53" name="Rectangle: Rounded Corners 52">
            <a:extLst>
              <a:ext uri="{FF2B5EF4-FFF2-40B4-BE49-F238E27FC236}">
                <a16:creationId xmlns:a16="http://schemas.microsoft.com/office/drawing/2014/main" id="{909D3FAE-E79A-E66F-9D0C-256086859B53}"/>
              </a:ext>
            </a:extLst>
          </xdr:cNvPr>
          <xdr:cNvSpPr/>
        </xdr:nvSpPr>
        <xdr:spPr>
          <a:xfrm>
            <a:off x="7731579" y="6090557"/>
            <a:ext cx="5029199" cy="3045279"/>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aphicFrame macro="">
        <xdr:nvGraphicFramePr>
          <xdr:cNvPr id="55" name="Chart 54">
            <a:extLst>
              <a:ext uri="{FF2B5EF4-FFF2-40B4-BE49-F238E27FC236}">
                <a16:creationId xmlns:a16="http://schemas.microsoft.com/office/drawing/2014/main" id="{429FCEC4-8FF5-489D-BD8E-0801CA9F8DDE}"/>
              </a:ext>
            </a:extLst>
          </xdr:cNvPr>
          <xdr:cNvGraphicFramePr>
            <a:graphicFrameLocks/>
          </xdr:cNvGraphicFramePr>
        </xdr:nvGraphicFramePr>
        <xdr:xfrm>
          <a:off x="7836354" y="6157231"/>
          <a:ext cx="4895850" cy="287383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0</xdr:col>
      <xdr:colOff>144236</xdr:colOff>
      <xdr:row>8</xdr:row>
      <xdr:rowOff>171450</xdr:rowOff>
    </xdr:from>
    <xdr:to>
      <xdr:col>3</xdr:col>
      <xdr:colOff>231322</xdr:colOff>
      <xdr:row>69</xdr:row>
      <xdr:rowOff>66675</xdr:rowOff>
    </xdr:to>
    <xdr:sp macro="" textlink="">
      <xdr:nvSpPr>
        <xdr:cNvPr id="56" name="Rectangle: Rounded Corners 55">
          <a:extLst>
            <a:ext uri="{FF2B5EF4-FFF2-40B4-BE49-F238E27FC236}">
              <a16:creationId xmlns:a16="http://schemas.microsoft.com/office/drawing/2014/main" id="{7279C293-4227-94D4-9BFC-17D7AB795B8C}"/>
            </a:ext>
          </a:extLst>
        </xdr:cNvPr>
        <xdr:cNvSpPr/>
      </xdr:nvSpPr>
      <xdr:spPr>
        <a:xfrm>
          <a:off x="144236" y="1586593"/>
          <a:ext cx="2128157" cy="10685689"/>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217714</xdr:colOff>
      <xdr:row>36</xdr:row>
      <xdr:rowOff>31991</xdr:rowOff>
    </xdr:from>
    <xdr:to>
      <xdr:col>3</xdr:col>
      <xdr:colOff>149679</xdr:colOff>
      <xdr:row>41</xdr:row>
      <xdr:rowOff>146173</xdr:rowOff>
    </xdr:to>
    <mc:AlternateContent xmlns:mc="http://schemas.openxmlformats.org/markup-compatibility/2006">
      <mc:Choice xmlns:a14="http://schemas.microsoft.com/office/drawing/2010/main" Requires="a14">
        <xdr:graphicFrame macro="">
          <xdr:nvGraphicFramePr>
            <xdr:cNvPr id="58" name="نوع العميل">
              <a:extLst>
                <a:ext uri="{FF2B5EF4-FFF2-40B4-BE49-F238E27FC236}">
                  <a16:creationId xmlns:a16="http://schemas.microsoft.com/office/drawing/2014/main" id="{FD99EF66-5F11-4914-8C1B-DAF6A21D4033}"/>
                </a:ext>
              </a:extLst>
            </xdr:cNvPr>
            <xdr:cNvGraphicFramePr/>
          </xdr:nvGraphicFramePr>
          <xdr:xfrm>
            <a:off x="0" y="0"/>
            <a:ext cx="0" cy="0"/>
          </xdr:xfrm>
          <a:graphic>
            <a:graphicData uri="http://schemas.microsoft.com/office/drawing/2010/slicer">
              <sle:slicer xmlns:sle="http://schemas.microsoft.com/office/drawing/2010/slicer" name="نوع العميل"/>
            </a:graphicData>
          </a:graphic>
        </xdr:graphicFrame>
      </mc:Choice>
      <mc:Fallback>
        <xdr:sp macro="" textlink="">
          <xdr:nvSpPr>
            <xdr:cNvPr id="0" name=""/>
            <xdr:cNvSpPr>
              <a:spLocks noTextEdit="1"/>
            </xdr:cNvSpPr>
          </xdr:nvSpPr>
          <xdr:spPr>
            <a:xfrm>
              <a:off x="217714" y="6266536"/>
              <a:ext cx="2010147" cy="98009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190499</xdr:colOff>
      <xdr:row>19</xdr:row>
      <xdr:rowOff>136109</xdr:rowOff>
    </xdr:from>
    <xdr:to>
      <xdr:col>3</xdr:col>
      <xdr:colOff>149679</xdr:colOff>
      <xdr:row>36</xdr:row>
      <xdr:rowOff>96467</xdr:rowOff>
    </xdr:to>
    <mc:AlternateContent xmlns:mc="http://schemas.openxmlformats.org/markup-compatibility/2006">
      <mc:Choice xmlns:a14="http://schemas.microsoft.com/office/drawing/2010/main" Requires="a14">
        <xdr:graphicFrame macro="">
          <xdr:nvGraphicFramePr>
            <xdr:cNvPr id="59" name="المحافظة">
              <a:extLst>
                <a:ext uri="{FF2B5EF4-FFF2-40B4-BE49-F238E27FC236}">
                  <a16:creationId xmlns:a16="http://schemas.microsoft.com/office/drawing/2014/main" id="{D99F8A4B-53E6-471C-B932-3CC48CC7B0E9}"/>
                </a:ext>
              </a:extLst>
            </xdr:cNvPr>
            <xdr:cNvGraphicFramePr/>
          </xdr:nvGraphicFramePr>
          <xdr:xfrm>
            <a:off x="0" y="0"/>
            <a:ext cx="0" cy="0"/>
          </xdr:xfrm>
          <a:graphic>
            <a:graphicData uri="http://schemas.microsoft.com/office/drawing/2010/slicer">
              <sle:slicer xmlns:sle="http://schemas.microsoft.com/office/drawing/2010/slicer" name="المحافظة"/>
            </a:graphicData>
          </a:graphic>
        </xdr:graphicFrame>
      </mc:Choice>
      <mc:Fallback>
        <xdr:sp macro="" textlink="">
          <xdr:nvSpPr>
            <xdr:cNvPr id="0" name=""/>
            <xdr:cNvSpPr>
              <a:spLocks noTextEdit="1"/>
            </xdr:cNvSpPr>
          </xdr:nvSpPr>
          <xdr:spPr>
            <a:xfrm>
              <a:off x="190499" y="3426564"/>
              <a:ext cx="2037362" cy="290444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176892</xdr:colOff>
      <xdr:row>10</xdr:row>
      <xdr:rowOff>44025</xdr:rowOff>
    </xdr:from>
    <xdr:to>
      <xdr:col>3</xdr:col>
      <xdr:colOff>149678</xdr:colOff>
      <xdr:row>19</xdr:row>
      <xdr:rowOff>109137</xdr:rowOff>
    </xdr:to>
    <mc:AlternateContent xmlns:mc="http://schemas.openxmlformats.org/markup-compatibility/2006">
      <mc:Choice xmlns:a14="http://schemas.microsoft.com/office/drawing/2010/main" Requires="a14">
        <xdr:graphicFrame macro="">
          <xdr:nvGraphicFramePr>
            <xdr:cNvPr id="61" name="الحالة">
              <a:extLst>
                <a:ext uri="{FF2B5EF4-FFF2-40B4-BE49-F238E27FC236}">
                  <a16:creationId xmlns:a16="http://schemas.microsoft.com/office/drawing/2014/main" id="{057992D8-3721-4237-ABA0-E9A0A0396C1F}"/>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dr:sp macro="" textlink="">
          <xdr:nvSpPr>
            <xdr:cNvPr id="0" name=""/>
            <xdr:cNvSpPr>
              <a:spLocks noTextEdit="1"/>
            </xdr:cNvSpPr>
          </xdr:nvSpPr>
          <xdr:spPr>
            <a:xfrm>
              <a:off x="176892" y="1775843"/>
              <a:ext cx="2050968" cy="162374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185943</xdr:colOff>
      <xdr:row>40</xdr:row>
      <xdr:rowOff>113564</xdr:rowOff>
    </xdr:from>
    <xdr:to>
      <xdr:col>3</xdr:col>
      <xdr:colOff>130154</xdr:colOff>
      <xdr:row>56</xdr:row>
      <xdr:rowOff>109481</xdr:rowOff>
    </xdr:to>
    <mc:AlternateContent xmlns:mc="http://schemas.openxmlformats.org/markup-compatibility/2006">
      <mc:Choice xmlns:a14="http://schemas.microsoft.com/office/drawing/2010/main" Requires="a14">
        <xdr:graphicFrame macro="">
          <xdr:nvGraphicFramePr>
            <xdr:cNvPr id="62" name="المنتج">
              <a:extLst>
                <a:ext uri="{FF2B5EF4-FFF2-40B4-BE49-F238E27FC236}">
                  <a16:creationId xmlns:a16="http://schemas.microsoft.com/office/drawing/2014/main" id="{C51F5C7B-3FE8-4EFD-A8BC-B0D54850787B}"/>
                </a:ext>
              </a:extLst>
            </xdr:cNvPr>
            <xdr:cNvGraphicFramePr/>
          </xdr:nvGraphicFramePr>
          <xdr:xfrm>
            <a:off x="0" y="0"/>
            <a:ext cx="0" cy="0"/>
          </xdr:xfrm>
          <a:graphic>
            <a:graphicData uri="http://schemas.microsoft.com/office/drawing/2010/slicer">
              <sle:slicer xmlns:sle="http://schemas.microsoft.com/office/drawing/2010/slicer" name="المنتج"/>
            </a:graphicData>
          </a:graphic>
        </xdr:graphicFrame>
      </mc:Choice>
      <mc:Fallback>
        <xdr:sp macro="" textlink="">
          <xdr:nvSpPr>
            <xdr:cNvPr id="0" name=""/>
            <xdr:cNvSpPr>
              <a:spLocks noTextEdit="1"/>
            </xdr:cNvSpPr>
          </xdr:nvSpPr>
          <xdr:spPr>
            <a:xfrm>
              <a:off x="185943" y="7040837"/>
              <a:ext cx="2022393" cy="276682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427265</xdr:colOff>
      <xdr:row>36</xdr:row>
      <xdr:rowOff>122589</xdr:rowOff>
    </xdr:from>
    <xdr:to>
      <xdr:col>26</xdr:col>
      <xdr:colOff>108858</xdr:colOff>
      <xdr:row>41</xdr:row>
      <xdr:rowOff>103538</xdr:rowOff>
    </xdr:to>
    <xdr:grpSp>
      <xdr:nvGrpSpPr>
        <xdr:cNvPr id="70" name="Group 69">
          <a:extLst>
            <a:ext uri="{FF2B5EF4-FFF2-40B4-BE49-F238E27FC236}">
              <a16:creationId xmlns:a16="http://schemas.microsoft.com/office/drawing/2014/main" id="{A3D1FA8C-EC59-FA13-D8B5-2D79890CCAA8}"/>
            </a:ext>
          </a:extLst>
        </xdr:cNvPr>
        <xdr:cNvGrpSpPr/>
      </xdr:nvGrpSpPr>
      <xdr:grpSpPr>
        <a:xfrm>
          <a:off x="14281810" y="6357134"/>
          <a:ext cx="3837957" cy="846859"/>
          <a:chOff x="14034408" y="6168118"/>
          <a:chExt cx="3763736" cy="865414"/>
        </a:xfrm>
      </xdr:grpSpPr>
      <xdr:sp macro="" textlink="Sheet1!O18:P18">
        <xdr:nvSpPr>
          <xdr:cNvPr id="64" name="Rectangle: Rounded Corners 63">
            <a:extLst>
              <a:ext uri="{FF2B5EF4-FFF2-40B4-BE49-F238E27FC236}">
                <a16:creationId xmlns:a16="http://schemas.microsoft.com/office/drawing/2014/main" id="{7086766A-1378-AADD-E7BE-592F2457F52B}"/>
              </a:ext>
            </a:extLst>
          </xdr:cNvPr>
          <xdr:cNvSpPr/>
        </xdr:nvSpPr>
        <xdr:spPr>
          <a:xfrm>
            <a:off x="14081691" y="6168118"/>
            <a:ext cx="3642066" cy="865414"/>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9EF8BABC-437C-4DE0-86DA-DA27013B39E7}" type="TxLink">
              <a:rPr lang="ar-EG" sz="2800" b="1" i="0" u="none" strike="noStrike">
                <a:solidFill>
                  <a:srgbClr val="F2F2F2"/>
                </a:solidFill>
                <a:latin typeface="Arial"/>
                <a:cs typeface="Arial"/>
              </a:rPr>
              <a:pPr algn="ctr"/>
              <a:t>سرير</a:t>
            </a:fld>
            <a:endParaRPr lang="ar-EG" sz="6000" b="1">
              <a:solidFill>
                <a:srgbClr val="F2F2F2"/>
              </a:solidFill>
            </a:endParaRPr>
          </a:p>
        </xdr:txBody>
      </xdr:sp>
      <xdr:sp macro="" textlink="">
        <xdr:nvSpPr>
          <xdr:cNvPr id="65" name="TextBox 64">
            <a:extLst>
              <a:ext uri="{FF2B5EF4-FFF2-40B4-BE49-F238E27FC236}">
                <a16:creationId xmlns:a16="http://schemas.microsoft.com/office/drawing/2014/main" id="{F7261553-690E-2531-0D0B-9D04B67EA921}"/>
              </a:ext>
            </a:extLst>
          </xdr:cNvPr>
          <xdr:cNvSpPr txBox="1"/>
        </xdr:nvSpPr>
        <xdr:spPr>
          <a:xfrm>
            <a:off x="14034408" y="6168118"/>
            <a:ext cx="3763736" cy="502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ar-EG" sz="1800" b="1">
                <a:ln>
                  <a:noFill/>
                </a:ln>
                <a:solidFill>
                  <a:srgbClr val="F2F2F2"/>
                </a:solidFill>
              </a:rPr>
              <a:t>المنتج الأكثر مبيعا  </a:t>
            </a:r>
            <a:r>
              <a:rPr lang="en-US" sz="1800" b="1">
                <a:ln>
                  <a:noFill/>
                </a:ln>
                <a:solidFill>
                  <a:srgbClr val="F2F2F2"/>
                </a:solidFill>
              </a:rPr>
              <a:t>Best  Seller)</a:t>
            </a:r>
            <a:r>
              <a:rPr lang="ar-EG" sz="1800" b="1">
                <a:ln>
                  <a:noFill/>
                </a:ln>
                <a:solidFill>
                  <a:srgbClr val="F2F2F2"/>
                </a:solidFill>
              </a:rPr>
              <a:t>)</a:t>
            </a:r>
          </a:p>
        </xdr:txBody>
      </xdr:sp>
    </xdr:grpSp>
    <xdr:clientData/>
  </xdr:twoCellAnchor>
  <xdr:twoCellAnchor>
    <xdr:from>
      <xdr:col>4</xdr:col>
      <xdr:colOff>345622</xdr:colOff>
      <xdr:row>36</xdr:row>
      <xdr:rowOff>109889</xdr:rowOff>
    </xdr:from>
    <xdr:to>
      <xdr:col>10</xdr:col>
      <xdr:colOff>27216</xdr:colOff>
      <xdr:row>41</xdr:row>
      <xdr:rowOff>94549</xdr:rowOff>
    </xdr:to>
    <xdr:grpSp>
      <xdr:nvGrpSpPr>
        <xdr:cNvPr id="75" name="Group 74">
          <a:extLst>
            <a:ext uri="{FF2B5EF4-FFF2-40B4-BE49-F238E27FC236}">
              <a16:creationId xmlns:a16="http://schemas.microsoft.com/office/drawing/2014/main" id="{8E398896-92F5-DAE4-F1C9-37DB97D604A9}"/>
            </a:ext>
          </a:extLst>
        </xdr:cNvPr>
        <xdr:cNvGrpSpPr/>
      </xdr:nvGrpSpPr>
      <xdr:grpSpPr>
        <a:xfrm>
          <a:off x="3116531" y="6344434"/>
          <a:ext cx="3837958" cy="850570"/>
          <a:chOff x="3067051" y="6195333"/>
          <a:chExt cx="3763736" cy="865414"/>
        </a:xfrm>
      </xdr:grpSpPr>
      <xdr:sp macro="" textlink="Sheet1!S23:T23">
        <xdr:nvSpPr>
          <xdr:cNvPr id="67" name="Rectangle: Rounded Corners 66">
            <a:extLst>
              <a:ext uri="{FF2B5EF4-FFF2-40B4-BE49-F238E27FC236}">
                <a16:creationId xmlns:a16="http://schemas.microsoft.com/office/drawing/2014/main" id="{EC4187DC-815B-36F6-E676-CC816A7E1DD2}"/>
              </a:ext>
            </a:extLst>
          </xdr:cNvPr>
          <xdr:cNvSpPr/>
        </xdr:nvSpPr>
        <xdr:spPr>
          <a:xfrm>
            <a:off x="3114334" y="6195333"/>
            <a:ext cx="3642066" cy="865414"/>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D68D52C2-0E75-4936-939D-267662C89234}" type="TxLink">
              <a:rPr lang="ar-EG" sz="2800" b="1" i="0" u="none" strike="noStrike">
                <a:solidFill>
                  <a:srgbClr val="F2F2F2"/>
                </a:solidFill>
                <a:latin typeface="Arial"/>
                <a:cs typeface="Arial"/>
              </a:rPr>
              <a:pPr algn="ctr"/>
              <a:t>ابيض</a:t>
            </a:fld>
            <a:endParaRPr lang="ar-EG" sz="6000" b="1">
              <a:solidFill>
                <a:srgbClr val="F2F2F2"/>
              </a:solidFill>
            </a:endParaRPr>
          </a:p>
        </xdr:txBody>
      </xdr:sp>
      <xdr:sp macro="" textlink="">
        <xdr:nvSpPr>
          <xdr:cNvPr id="68" name="TextBox 67">
            <a:extLst>
              <a:ext uri="{FF2B5EF4-FFF2-40B4-BE49-F238E27FC236}">
                <a16:creationId xmlns:a16="http://schemas.microsoft.com/office/drawing/2014/main" id="{4D98C6FC-733C-E6FF-5244-DB4BC1F22DB3}"/>
              </a:ext>
            </a:extLst>
          </xdr:cNvPr>
          <xdr:cNvSpPr txBox="1"/>
        </xdr:nvSpPr>
        <xdr:spPr>
          <a:xfrm>
            <a:off x="3067051" y="6195333"/>
            <a:ext cx="3763736" cy="502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ar-EG" sz="1800" b="1">
                <a:ln>
                  <a:noFill/>
                </a:ln>
                <a:solidFill>
                  <a:srgbClr val="F2F2F2"/>
                </a:solidFill>
              </a:rPr>
              <a:t>اللون الأكثر مبيعا </a:t>
            </a:r>
            <a:r>
              <a:rPr lang="en-US" sz="1800" b="1">
                <a:ln>
                  <a:noFill/>
                </a:ln>
                <a:solidFill>
                  <a:srgbClr val="F2F2F2"/>
                </a:solidFill>
              </a:rPr>
              <a:t>Best Color sold </a:t>
            </a:r>
            <a:endParaRPr lang="ar-EG" sz="1800" b="1">
              <a:ln>
                <a:noFill/>
              </a:ln>
              <a:solidFill>
                <a:srgbClr val="F2F2F2"/>
              </a:solidFill>
            </a:endParaRPr>
          </a:p>
        </xdr:txBody>
      </xdr:sp>
    </xdr:grpSp>
    <xdr:clientData/>
  </xdr:twoCellAnchor>
  <xdr:twoCellAnchor>
    <xdr:from>
      <xdr:col>20</xdr:col>
      <xdr:colOff>468086</xdr:colOff>
      <xdr:row>44</xdr:row>
      <xdr:rowOff>73727</xdr:rowOff>
    </xdr:from>
    <xdr:to>
      <xdr:col>26</xdr:col>
      <xdr:colOff>149679</xdr:colOff>
      <xdr:row>49</xdr:row>
      <xdr:rowOff>58388</xdr:rowOff>
    </xdr:to>
    <xdr:grpSp>
      <xdr:nvGrpSpPr>
        <xdr:cNvPr id="71" name="Group 70">
          <a:extLst>
            <a:ext uri="{FF2B5EF4-FFF2-40B4-BE49-F238E27FC236}">
              <a16:creationId xmlns:a16="http://schemas.microsoft.com/office/drawing/2014/main" id="{C0355AD3-1019-611F-4F4C-C07C43DD93E0}"/>
            </a:ext>
          </a:extLst>
        </xdr:cNvPr>
        <xdr:cNvGrpSpPr/>
      </xdr:nvGrpSpPr>
      <xdr:grpSpPr>
        <a:xfrm>
          <a:off x="14322631" y="7693727"/>
          <a:ext cx="3837957" cy="850570"/>
          <a:chOff x="14034408" y="6168118"/>
          <a:chExt cx="3763736" cy="865414"/>
        </a:xfrm>
      </xdr:grpSpPr>
      <xdr:sp macro="" textlink="Sheet1!X55">
        <xdr:nvSpPr>
          <xdr:cNvPr id="72" name="Rectangle: Rounded Corners 71">
            <a:extLst>
              <a:ext uri="{FF2B5EF4-FFF2-40B4-BE49-F238E27FC236}">
                <a16:creationId xmlns:a16="http://schemas.microsoft.com/office/drawing/2014/main" id="{16D4330B-BF2E-DD43-76EF-196904534C2C}"/>
              </a:ext>
            </a:extLst>
          </xdr:cNvPr>
          <xdr:cNvSpPr/>
        </xdr:nvSpPr>
        <xdr:spPr>
          <a:xfrm>
            <a:off x="14081691" y="6168118"/>
            <a:ext cx="3642066" cy="865414"/>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4501797F-7B78-4732-83EA-D4949C8C6884}" type="TxLink">
              <a:rPr lang="en-US" sz="2800" b="1" i="0" u="none" strike="noStrike">
                <a:solidFill>
                  <a:srgbClr val="F2F2F2"/>
                </a:solidFill>
                <a:latin typeface="Arial"/>
                <a:cs typeface="Arial"/>
              </a:rPr>
              <a:pPr algn="ctr"/>
              <a:t>4%</a:t>
            </a:fld>
            <a:endParaRPr lang="ar-EG" sz="13800" b="1">
              <a:solidFill>
                <a:srgbClr val="F2F2F2"/>
              </a:solidFill>
            </a:endParaRPr>
          </a:p>
        </xdr:txBody>
      </xdr:sp>
      <xdr:sp macro="" textlink="">
        <xdr:nvSpPr>
          <xdr:cNvPr id="73" name="TextBox 72">
            <a:extLst>
              <a:ext uri="{FF2B5EF4-FFF2-40B4-BE49-F238E27FC236}">
                <a16:creationId xmlns:a16="http://schemas.microsoft.com/office/drawing/2014/main" id="{905ED412-4DB0-A06B-6326-C241C17D7A19}"/>
              </a:ext>
            </a:extLst>
          </xdr:cNvPr>
          <xdr:cNvSpPr txBox="1"/>
        </xdr:nvSpPr>
        <xdr:spPr>
          <a:xfrm>
            <a:off x="14034408" y="6168118"/>
            <a:ext cx="3763736" cy="502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ar-EG" sz="1800" b="1">
                <a:ln>
                  <a:noFill/>
                </a:ln>
                <a:solidFill>
                  <a:srgbClr val="F2F2F2"/>
                </a:solidFill>
              </a:rPr>
              <a:t>نسبة الطلبات المسلمة في الموعد (</a:t>
            </a:r>
            <a:r>
              <a:rPr lang="en-US" sz="1800" b="1">
                <a:ln>
                  <a:noFill/>
                </a:ln>
                <a:solidFill>
                  <a:srgbClr val="F2F2F2"/>
                </a:solidFill>
              </a:rPr>
              <a:t>On-time Delivery Rate)</a:t>
            </a:r>
            <a:endParaRPr lang="ar-EG" sz="1800" b="1">
              <a:ln>
                <a:noFill/>
              </a:ln>
              <a:solidFill>
                <a:srgbClr val="F2F2F2"/>
              </a:solidFill>
            </a:endParaRPr>
          </a:p>
        </xdr:txBody>
      </xdr:sp>
    </xdr:grpSp>
    <xdr:clientData/>
  </xdr:twoCellAnchor>
  <xdr:twoCellAnchor>
    <xdr:from>
      <xdr:col>4</xdr:col>
      <xdr:colOff>359229</xdr:colOff>
      <xdr:row>44</xdr:row>
      <xdr:rowOff>71088</xdr:rowOff>
    </xdr:from>
    <xdr:to>
      <xdr:col>10</xdr:col>
      <xdr:colOff>40823</xdr:colOff>
      <xdr:row>49</xdr:row>
      <xdr:rowOff>52038</xdr:rowOff>
    </xdr:to>
    <xdr:grpSp>
      <xdr:nvGrpSpPr>
        <xdr:cNvPr id="76" name="Group 75">
          <a:extLst>
            <a:ext uri="{FF2B5EF4-FFF2-40B4-BE49-F238E27FC236}">
              <a16:creationId xmlns:a16="http://schemas.microsoft.com/office/drawing/2014/main" id="{14E9C38E-1236-6E8A-272F-FF4DD0F7462B}"/>
            </a:ext>
          </a:extLst>
        </xdr:cNvPr>
        <xdr:cNvGrpSpPr/>
      </xdr:nvGrpSpPr>
      <xdr:grpSpPr>
        <a:xfrm>
          <a:off x="3130138" y="7691088"/>
          <a:ext cx="3837958" cy="846859"/>
          <a:chOff x="3067051" y="6195333"/>
          <a:chExt cx="3763736" cy="865414"/>
        </a:xfrm>
      </xdr:grpSpPr>
      <xdr:sp macro="" textlink="Sheet1!AB13">
        <xdr:nvSpPr>
          <xdr:cNvPr id="77" name="Rectangle: Rounded Corners 76">
            <a:extLst>
              <a:ext uri="{FF2B5EF4-FFF2-40B4-BE49-F238E27FC236}">
                <a16:creationId xmlns:a16="http://schemas.microsoft.com/office/drawing/2014/main" id="{4FFC2B5F-7C7C-B6B5-AAFA-8589B89D875E}"/>
              </a:ext>
            </a:extLst>
          </xdr:cNvPr>
          <xdr:cNvSpPr/>
        </xdr:nvSpPr>
        <xdr:spPr>
          <a:xfrm>
            <a:off x="3114334" y="6195333"/>
            <a:ext cx="3642066" cy="865414"/>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9B88576D-580D-408D-8BA3-4FC434067495}" type="TxLink">
              <a:rPr lang="en-US" sz="2800" b="1" i="0" u="none" strike="noStrike">
                <a:solidFill>
                  <a:srgbClr val="F2F2F2"/>
                </a:solidFill>
                <a:latin typeface="Arial"/>
                <a:cs typeface="Arial"/>
              </a:rPr>
              <a:pPr algn="ctr"/>
              <a:t>18%</a:t>
            </a:fld>
            <a:endParaRPr lang="ar-EG" sz="13800" b="1">
              <a:solidFill>
                <a:srgbClr val="F2F2F2"/>
              </a:solidFill>
            </a:endParaRPr>
          </a:p>
        </xdr:txBody>
      </xdr:sp>
      <xdr:sp macro="" textlink="">
        <xdr:nvSpPr>
          <xdr:cNvPr id="78" name="TextBox 77">
            <a:extLst>
              <a:ext uri="{FF2B5EF4-FFF2-40B4-BE49-F238E27FC236}">
                <a16:creationId xmlns:a16="http://schemas.microsoft.com/office/drawing/2014/main" id="{0BFF8D67-19A8-A021-0C8E-6EFF9C4E05D5}"/>
              </a:ext>
            </a:extLst>
          </xdr:cNvPr>
          <xdr:cNvSpPr txBox="1"/>
        </xdr:nvSpPr>
        <xdr:spPr>
          <a:xfrm>
            <a:off x="3067051" y="6195333"/>
            <a:ext cx="3763736" cy="502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ar-EG" sz="1800" b="1">
                <a:ln>
                  <a:noFill/>
                </a:ln>
                <a:solidFill>
                  <a:srgbClr val="F2F2F2"/>
                </a:solidFill>
              </a:rPr>
              <a:t>نسبة الطلبات الملغاة التي لم تتسلم (</a:t>
            </a:r>
            <a:r>
              <a:rPr lang="en-US" sz="1800" b="1">
                <a:ln>
                  <a:noFill/>
                </a:ln>
                <a:solidFill>
                  <a:srgbClr val="F2F2F2"/>
                </a:solidFill>
              </a:rPr>
              <a:t>Delivery Status Breakdown)</a:t>
            </a:r>
            <a:endParaRPr lang="ar-EG" sz="1800" b="1">
              <a:ln>
                <a:noFill/>
              </a:ln>
              <a:solidFill>
                <a:srgbClr val="F2F2F2"/>
              </a:solidFill>
            </a:endParaRPr>
          </a:p>
        </xdr:txBody>
      </xdr:sp>
    </xdr:grpSp>
    <xdr:clientData/>
  </xdr:twoCellAnchor>
  <xdr:twoCellAnchor>
    <xdr:from>
      <xdr:col>14</xdr:col>
      <xdr:colOff>561975</xdr:colOff>
      <xdr:row>9</xdr:row>
      <xdr:rowOff>28575</xdr:rowOff>
    </xdr:from>
    <xdr:to>
      <xdr:col>20</xdr:col>
      <xdr:colOff>134625</xdr:colOff>
      <xdr:row>14</xdr:row>
      <xdr:rowOff>28575</xdr:rowOff>
    </xdr:to>
    <xdr:grpSp>
      <xdr:nvGrpSpPr>
        <xdr:cNvPr id="79" name="Group 78">
          <a:extLst>
            <a:ext uri="{FF2B5EF4-FFF2-40B4-BE49-F238E27FC236}">
              <a16:creationId xmlns:a16="http://schemas.microsoft.com/office/drawing/2014/main" id="{0C362E9B-AA17-5884-32B8-F04D707D3ABB}"/>
            </a:ext>
          </a:extLst>
        </xdr:cNvPr>
        <xdr:cNvGrpSpPr/>
      </xdr:nvGrpSpPr>
      <xdr:grpSpPr>
        <a:xfrm>
          <a:off x="10260157" y="1587211"/>
          <a:ext cx="3729013" cy="865909"/>
          <a:chOff x="6419850" y="1676400"/>
          <a:chExt cx="3687451" cy="904875"/>
        </a:xfrm>
      </xdr:grpSpPr>
      <xdr:sp macro="" textlink="Sheet1!AF18">
        <xdr:nvSpPr>
          <xdr:cNvPr id="80" name="Rectangle: Rounded Corners 79">
            <a:extLst>
              <a:ext uri="{FF2B5EF4-FFF2-40B4-BE49-F238E27FC236}">
                <a16:creationId xmlns:a16="http://schemas.microsoft.com/office/drawing/2014/main" id="{20A334A5-AE91-DBF0-3D75-151EEDF40AA6}"/>
              </a:ext>
            </a:extLst>
          </xdr:cNvPr>
          <xdr:cNvSpPr/>
        </xdr:nvSpPr>
        <xdr:spPr>
          <a:xfrm>
            <a:off x="6419850" y="1695450"/>
            <a:ext cx="3668400" cy="885825"/>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E4942FF7-7239-405C-AC7F-A9F1662275A3}" type="TxLink">
              <a:rPr lang="en-US" sz="2800" b="1" i="0" u="none" strike="noStrike">
                <a:solidFill>
                  <a:srgbClr val="F2F2F2"/>
                </a:solidFill>
                <a:latin typeface="Arial"/>
                <a:cs typeface="Arial"/>
              </a:rPr>
              <a:pPr algn="ctr"/>
              <a:t>القاهرة</a:t>
            </a:fld>
            <a:endParaRPr lang="ar-EG" sz="13800" b="1">
              <a:solidFill>
                <a:srgbClr val="F2F2F2"/>
              </a:solidFill>
            </a:endParaRPr>
          </a:p>
        </xdr:txBody>
      </xdr:sp>
      <xdr:sp macro="" textlink="">
        <xdr:nvSpPr>
          <xdr:cNvPr id="81" name="TextBox 80">
            <a:extLst>
              <a:ext uri="{FF2B5EF4-FFF2-40B4-BE49-F238E27FC236}">
                <a16:creationId xmlns:a16="http://schemas.microsoft.com/office/drawing/2014/main" id="{F3CDAFE3-CD3B-DFE4-0DD1-A7041E430103}"/>
              </a:ext>
            </a:extLst>
          </xdr:cNvPr>
          <xdr:cNvSpPr txBox="1"/>
        </xdr:nvSpPr>
        <xdr:spPr>
          <a:xfrm>
            <a:off x="6438901" y="1676400"/>
            <a:ext cx="36684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rtl="1"/>
            <a:r>
              <a:rPr lang="ar-EG" sz="1800" b="1">
                <a:ln>
                  <a:noFill/>
                </a:ln>
                <a:solidFill>
                  <a:srgbClr val="F2F2F2"/>
                </a:solidFill>
              </a:rPr>
              <a:t>المدينة الأكثر مبيعات </a:t>
            </a:r>
            <a:r>
              <a:rPr lang="en-US" sz="1800" b="1">
                <a:ln>
                  <a:noFill/>
                </a:ln>
                <a:solidFill>
                  <a:srgbClr val="F2F2F2"/>
                </a:solidFill>
              </a:rPr>
              <a:t>Orders by Area)</a:t>
            </a:r>
            <a:r>
              <a:rPr lang="ar-EG" sz="1800" b="1">
                <a:ln>
                  <a:noFill/>
                </a:ln>
                <a:solidFill>
                  <a:srgbClr val="F2F2F2"/>
                </a:solidFill>
              </a:rPr>
              <a:t>)</a:t>
            </a:r>
          </a:p>
        </xdr:txBody>
      </xdr:sp>
    </xdr:grpSp>
    <xdr:clientData/>
  </xdr:twoCellAnchor>
  <xdr:twoCellAnchor editAs="oneCell">
    <xdr:from>
      <xdr:col>0</xdr:col>
      <xdr:colOff>163758</xdr:colOff>
      <xdr:row>57</xdr:row>
      <xdr:rowOff>14601</xdr:rowOff>
    </xdr:from>
    <xdr:to>
      <xdr:col>3</xdr:col>
      <xdr:colOff>198782</xdr:colOff>
      <xdr:row>68</xdr:row>
      <xdr:rowOff>56029</xdr:rowOff>
    </xdr:to>
    <mc:AlternateContent xmlns:mc="http://schemas.openxmlformats.org/markup-compatibility/2006">
      <mc:Choice xmlns:a14="http://schemas.microsoft.com/office/drawing/2010/main" Requires="a14">
        <xdr:graphicFrame macro="">
          <xdr:nvGraphicFramePr>
            <xdr:cNvPr id="82" name="منصة البيع ">
              <a:extLst>
                <a:ext uri="{FF2B5EF4-FFF2-40B4-BE49-F238E27FC236}">
                  <a16:creationId xmlns:a16="http://schemas.microsoft.com/office/drawing/2014/main" id="{30FABCB2-BAC5-4774-B1BD-04FABAE313BD}"/>
                </a:ext>
              </a:extLst>
            </xdr:cNvPr>
            <xdr:cNvGraphicFramePr/>
          </xdr:nvGraphicFramePr>
          <xdr:xfrm>
            <a:off x="0" y="0"/>
            <a:ext cx="0" cy="0"/>
          </xdr:xfrm>
          <a:graphic>
            <a:graphicData uri="http://schemas.microsoft.com/office/drawing/2010/slicer">
              <sle:slicer xmlns:sle="http://schemas.microsoft.com/office/drawing/2010/slicer" name="منصة البيع "/>
            </a:graphicData>
          </a:graphic>
        </xdr:graphicFrame>
      </mc:Choice>
      <mc:Fallback>
        <xdr:sp macro="" textlink="">
          <xdr:nvSpPr>
            <xdr:cNvPr id="0" name=""/>
            <xdr:cNvSpPr>
              <a:spLocks noTextEdit="1"/>
            </xdr:cNvSpPr>
          </xdr:nvSpPr>
          <xdr:spPr>
            <a:xfrm>
              <a:off x="163758" y="9885965"/>
              <a:ext cx="2113206" cy="194642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st Accountant" refreshedDate="46278.58333321759" createdVersion="8" refreshedVersion="8" minRefreshableVersion="3" recordCount="126" xr:uid="{305CAFDB-677A-4184-A2E9-6A7BCFD05F36}">
  <cacheSource type="worksheet">
    <worksheetSource name="misuo"/>
  </cacheSource>
  <cacheFields count="26">
    <cacheField name="رقم العملية" numFmtId="0">
      <sharedItems containsBlank="1" containsMixedTypes="1" containsNumber="1" containsInteger="1" minValue="2514" maxValue="265453625"/>
    </cacheField>
    <cacheField name="رقم الطلب" numFmtId="0">
      <sharedItems containsString="0" containsBlank="1" containsNumber="1" containsInteger="1" minValue="2514" maxValue="1708226"/>
    </cacheField>
    <cacheField name="أسم العميل" numFmtId="0">
      <sharedItems/>
    </cacheField>
    <cacheField name="نوع العميل" numFmtId="0">
      <sharedItems count="2">
        <s v="افراد"/>
        <s v="شركات"/>
      </sharedItems>
    </cacheField>
    <cacheField name="عدم التكرار" numFmtId="0">
      <sharedItems containsSemiMixedTypes="0" containsString="0" containsNumber="1" containsInteger="1" minValue="0" maxValue="1"/>
    </cacheField>
    <cacheField name="العنوان" numFmtId="0">
      <sharedItems containsBlank="1"/>
    </cacheField>
    <cacheField name="المحافظة" numFmtId="0">
      <sharedItems containsBlank="1" count="10">
        <s v="الجيزة"/>
        <s v="الإسكندرية"/>
        <s v="مطروح"/>
        <s v="البحر الأحمر"/>
        <m/>
        <s v="القاهرة"/>
        <s v="القليوبية"/>
        <s v="السويس"/>
        <s v="أسيوط"/>
        <s v="القاهرة (مدينة بدر)" u="1"/>
      </sharedItems>
    </cacheField>
    <cacheField name="منصة البيع " numFmtId="0">
      <sharedItems count="12">
        <s v="هومزمارت"/>
        <s v="شيك هومز"/>
        <s v="فيسبوك"/>
        <s v="تاكى"/>
        <s v="اوسكار ريتن "/>
        <s v="السويس"/>
        <s v="منزلى"/>
        <s v="كيمت "/>
        <s v="منزلى " u="1"/>
        <s v="شيك هومز " u="1"/>
        <s v="تاكى " u="1"/>
        <s v="هومزمارت " u="1"/>
      </sharedItems>
    </cacheField>
    <cacheField name="المنتج" numFmtId="0">
      <sharedItems count="9">
        <s v="سرير"/>
        <s v="ترابيزه"/>
        <s v="كنبة "/>
        <s v="ركنة"/>
        <s v="كنبة"/>
        <s v="كرسى"/>
        <s v="شيزلونج"/>
        <s v="سرير "/>
        <s v="ترابيزه "/>
      </sharedItems>
    </cacheField>
    <cacheField name="نوع المنتج"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ontainsBlank="1" count="14">
        <s v="ابيض"/>
        <s v="اسود"/>
        <s v="ازرق"/>
        <m/>
        <s v="رمادى"/>
        <s v="دهبي"/>
        <s v="بنفسجى"/>
        <s v="اسود وبنى"/>
        <s v="اسود "/>
        <s v="ملون"/>
        <s v="اسزد"/>
        <s v="بينك"/>
        <s v="نبيتى "/>
        <s v="الوان"/>
      </sharedItems>
    </cacheField>
    <cacheField name="لون القماش" numFmtId="0">
      <sharedItems containsBlank="1"/>
    </cacheField>
    <cacheField name="كمية" numFmtId="0">
      <sharedItems containsSemiMixedTypes="0" containsString="0" containsNumber="1" containsInteger="1" minValue="1" maxValue="4"/>
    </cacheField>
    <cacheField name="وصف المنتج" numFmtId="0">
      <sharedItems containsBlank="1"/>
    </cacheField>
    <cacheField name="سعر البيع " numFmtId="0">
      <sharedItems containsSemiMixedTypes="0" containsString="0" containsNumber="1" minValue="4020" maxValue="22000"/>
    </cacheField>
    <cacheField name="طريقة الدفع" numFmtId="0">
      <sharedItems/>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مدة التسليم المتوقعة" numFmtId="0">
      <sharedItems containsSemiMixedTypes="0" containsString="0" containsNumber="1" containsInteger="1" minValue="0" maxValue="67"/>
    </cacheField>
    <cacheField name="مدة التسليم الفعلية" numFmtId="0">
      <sharedItems containsString="0" containsBlank="1" containsNumber="1" containsInteger="1" minValue="0" maxValue="59"/>
    </cacheField>
    <cacheField name="Ontime Delivery" numFmtId="0">
      <sharedItems containsString="0" containsBlank="1" containsNumber="1" containsInteger="1" minValue="-67" maxValue="20" count="46">
        <n v="14"/>
        <m/>
        <n v="-11"/>
        <n v="-15"/>
        <n v="2"/>
        <n v="-1"/>
        <n v="7"/>
        <n v="16"/>
        <n v="-8"/>
        <n v="-9"/>
        <n v="9"/>
        <n v="-14"/>
        <n v="5"/>
        <n v="-43"/>
        <n v="4"/>
        <n v="1"/>
        <n v="6"/>
        <n v="-17"/>
        <n v="3"/>
        <n v="20"/>
        <n v="15"/>
        <n v="-10"/>
        <n v="-45"/>
        <n v="-16"/>
        <n v="-34"/>
        <n v="-67"/>
        <n v="-50"/>
        <n v="-42"/>
        <n v="-35"/>
        <n v="-32"/>
        <n v="-31"/>
        <n v="-18"/>
        <n v="0"/>
        <n v="-59"/>
        <n v="-19"/>
        <n v="-3"/>
        <n v="-21"/>
        <n v="8"/>
        <n v="10"/>
        <n v="-2"/>
        <n v="-24"/>
        <n v="-5"/>
        <n v="13"/>
        <n v="-12"/>
        <n v="-4"/>
        <n v="-7"/>
      </sharedItems>
    </cacheField>
    <cacheField name="المسئول عن التسليم" numFmtId="0">
      <sharedItems containsBlank="1"/>
    </cacheField>
    <cacheField name="الحالة" numFmtId="0">
      <sharedItems count="5">
        <s v="تم التسليم"/>
        <s v="مرفوض"/>
        <s v="مرتجع"/>
        <s v="مرفوض " u="1"/>
        <s v="تم التسليم " u="1"/>
      </sharedItems>
    </cacheField>
  </cacheFields>
  <extLst>
    <ext xmlns:x14="http://schemas.microsoft.com/office/spreadsheetml/2009/9/main" uri="{725AE2AE-9491-48be-B2B4-4EB974FC3084}">
      <x14:pivotCacheDefinition pivotCacheId="1284135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m/>
    <m/>
    <s v="خالد عبد القوى "/>
    <x v="0"/>
    <n v="1"/>
    <s v="العجوزه  الجيزه"/>
    <x v="0"/>
    <x v="0"/>
    <x v="0"/>
    <s v="منطبق"/>
    <m/>
    <m/>
    <x v="0"/>
    <s v="ابيض"/>
    <n v="1"/>
    <s v="سرير منطبق الحديد ابيض والقماش ابيض "/>
    <n v="10160"/>
    <s v="مسبق الدفع"/>
    <d v="2024-07-27T00:00:00"/>
    <m/>
    <d v="2024-08-10T00:00:00"/>
    <n v="0"/>
    <n v="14"/>
    <x v="0"/>
    <s v="تم التسليم عن طريق شركه شحن "/>
    <x v="0"/>
  </r>
  <r>
    <m/>
    <m/>
    <s v="محمود"/>
    <x v="0"/>
    <n v="1"/>
    <s v="سموحه - اسكندريه"/>
    <x v="1"/>
    <x v="0"/>
    <x v="0"/>
    <s v="منطبق"/>
    <m/>
    <m/>
    <x v="1"/>
    <s v="اسود"/>
    <n v="1"/>
    <s v="سرير منطبق اسود والقماش اسود "/>
    <n v="10160"/>
    <s v="كاش"/>
    <d v="2024-07-28T00:00:00"/>
    <m/>
    <d v="2024-08-11T00:00:00"/>
    <n v="0"/>
    <n v="14"/>
    <x v="0"/>
    <s v="تم التسليم عن طريق شركه شحن "/>
    <x v="0"/>
  </r>
  <r>
    <m/>
    <m/>
    <s v="سعيد"/>
    <x v="0"/>
    <n v="1"/>
    <s v="سيدى عبد الرحمن - الساحل الشمالى "/>
    <x v="2"/>
    <x v="0"/>
    <x v="0"/>
    <s v="دورين"/>
    <s v="كيفنج"/>
    <n v="90"/>
    <x v="2"/>
    <m/>
    <n v="1"/>
    <s v="سرير كيفينج مقاس 90 لون ازرق "/>
    <n v="11455"/>
    <s v="كاش"/>
    <d v="2024-07-27T00:00:00"/>
    <m/>
    <m/>
    <n v="0"/>
    <m/>
    <x v="1"/>
    <s v="فشل التسليم "/>
    <x v="1"/>
  </r>
  <r>
    <m/>
    <m/>
    <s v="ساندرا"/>
    <x v="0"/>
    <n v="1"/>
    <s v="الغردقه "/>
    <x v="3"/>
    <x v="0"/>
    <x v="1"/>
    <m/>
    <m/>
    <m/>
    <x v="3"/>
    <m/>
    <n v="1"/>
    <s v="ترابيزه قهوه متحركه "/>
    <n v="8642"/>
    <s v="مسبق الدفع"/>
    <d v="2024-08-25T00:00:00"/>
    <d v="2024-09-07T00:00:00"/>
    <d v="2024-08-27T00:00:00"/>
    <n v="13"/>
    <n v="2"/>
    <x v="2"/>
    <s v="تم التسليم عن طريق شركه شحن "/>
    <x v="0"/>
  </r>
  <r>
    <m/>
    <m/>
    <s v="زينا "/>
    <x v="0"/>
    <n v="1"/>
    <s v="سيدى عبد الرحمن - الساحل الشمالى "/>
    <x v="2"/>
    <x v="0"/>
    <x v="0"/>
    <s v="دورين"/>
    <s v="نوفال"/>
    <n v="100"/>
    <x v="4"/>
    <m/>
    <n v="1"/>
    <s v="سرير نوفال متر رمادى "/>
    <n v="12833"/>
    <s v="كاش"/>
    <d v="2024-08-16T00:00:00"/>
    <d v="2024-08-31T00:00:00"/>
    <m/>
    <n v="15"/>
    <m/>
    <x v="3"/>
    <s v="فشل التسليم "/>
    <x v="1"/>
  </r>
  <r>
    <m/>
    <m/>
    <s v="شيك هومز"/>
    <x v="1"/>
    <n v="1"/>
    <m/>
    <x v="4"/>
    <x v="1"/>
    <x v="2"/>
    <s v="4×1"/>
    <m/>
    <m/>
    <x v="4"/>
    <m/>
    <n v="1"/>
    <s v="كنبه سرير رمادى "/>
    <n v="14550"/>
    <s v="مسبق الدفع"/>
    <d v="2024-08-14T00:00:00"/>
    <d v="2024-09-03T00:00:00"/>
    <d v="2024-09-05T00:00:00"/>
    <n v="20"/>
    <n v="22"/>
    <x v="4"/>
    <s v="تم التسليم عن طريق شركه شحن "/>
    <x v="0"/>
  </r>
  <r>
    <m/>
    <m/>
    <s v="احمد "/>
    <x v="0"/>
    <n v="1"/>
    <s v="التجمع الخامس"/>
    <x v="5"/>
    <x v="2"/>
    <x v="2"/>
    <s v="4×1"/>
    <m/>
    <m/>
    <x v="4"/>
    <m/>
    <n v="1"/>
    <s v="كنبه سرير رمادى "/>
    <n v="12000"/>
    <s v="كاش"/>
    <d v="2024-08-17T00:00:00"/>
    <d v="2024-08-20T00:00:00"/>
    <d v="2024-08-19T00:00:00"/>
    <n v="3"/>
    <n v="2"/>
    <x v="5"/>
    <s v="تم التسليم عن طريق شركه شحن "/>
    <x v="0"/>
  </r>
  <r>
    <m/>
    <m/>
    <s v="yilmaz"/>
    <x v="0"/>
    <n v="1"/>
    <s v="٦ اكتوبر الجيزه "/>
    <x v="0"/>
    <x v="0"/>
    <x v="0"/>
    <s v="فردى"/>
    <m/>
    <m/>
    <x v="0"/>
    <m/>
    <n v="1"/>
    <s v="سرير فردى ابيض "/>
    <n v="7228"/>
    <s v="مسبق الدفع"/>
    <d v="2024-08-25T00:00:00"/>
    <d v="2024-09-03T00:00:00"/>
    <d v="2024-09-10T00:00:00"/>
    <n v="9"/>
    <n v="16"/>
    <x v="6"/>
    <s v="تم التسليم عن طريق شركه شحن "/>
    <x v="0"/>
  </r>
  <r>
    <m/>
    <m/>
    <s v="تاكى"/>
    <x v="1"/>
    <n v="1"/>
    <s v="العباسيه"/>
    <x v="5"/>
    <x v="3"/>
    <x v="3"/>
    <s v="ركنة بسرير"/>
    <m/>
    <m/>
    <x v="3"/>
    <m/>
    <n v="1"/>
    <s v="ركنه "/>
    <n v="22000"/>
    <s v="كاش"/>
    <d v="2024-08-19T00:00:00"/>
    <d v="2024-09-01T00:00:00"/>
    <d v="2024-09-17T00:00:00"/>
    <n v="13"/>
    <n v="29"/>
    <x v="7"/>
    <m/>
    <x v="0"/>
  </r>
  <r>
    <m/>
    <m/>
    <s v="تاكى"/>
    <x v="1"/>
    <n v="0"/>
    <s v="العباسيه"/>
    <x v="5"/>
    <x v="3"/>
    <x v="4"/>
    <s v="سحارة"/>
    <m/>
    <m/>
    <x v="3"/>
    <m/>
    <n v="2"/>
    <s v="٢ كنبه سحاره بمخدع"/>
    <n v="16000"/>
    <s v="كاش"/>
    <m/>
    <m/>
    <m/>
    <n v="0"/>
    <n v="0"/>
    <x v="1"/>
    <s v="فشل التسليم "/>
    <x v="1"/>
  </r>
  <r>
    <m/>
    <m/>
    <s v="تاكى"/>
    <x v="1"/>
    <n v="0"/>
    <s v="العباسيه "/>
    <x v="5"/>
    <x v="3"/>
    <x v="4"/>
    <s v="سحارة"/>
    <m/>
    <m/>
    <x v="3"/>
    <m/>
    <n v="2"/>
    <s v="٢ كنبه سحاره بدون مخدع "/>
    <n v="6000"/>
    <s v="كاش"/>
    <d v="2024-08-25T00:00:00"/>
    <d v="2024-09-15T00:00:00"/>
    <d v="2024-09-17T00:00:00"/>
    <n v="21"/>
    <n v="23"/>
    <x v="4"/>
    <s v="تم التسليم محمود على "/>
    <x v="0"/>
  </r>
  <r>
    <m/>
    <m/>
    <s v="تاكى"/>
    <x v="1"/>
    <n v="0"/>
    <s v="العباسيه "/>
    <x v="5"/>
    <x v="3"/>
    <x v="4"/>
    <s v="سحارة"/>
    <m/>
    <m/>
    <x v="3"/>
    <m/>
    <n v="2"/>
    <s v="٢ كنبه سحاره بدون مخدع "/>
    <n v="6000"/>
    <s v="كاش"/>
    <d v="2024-08-25T00:00:00"/>
    <d v="2024-09-15T00:00:00"/>
    <d v="2024-09-17T00:00:00"/>
    <n v="21"/>
    <n v="23"/>
    <x v="4"/>
    <s v="تم التسليم محمود على "/>
    <x v="0"/>
  </r>
  <r>
    <m/>
    <m/>
    <s v="على رشوان "/>
    <x v="0"/>
    <n v="1"/>
    <s v="مصر الجديده"/>
    <x v="5"/>
    <x v="0"/>
    <x v="0"/>
    <s v="دورين"/>
    <s v="نوفال"/>
    <n v="80"/>
    <x v="0"/>
    <m/>
    <n v="1"/>
    <s v="سرير نوفال ابيض مقاس ٨٠"/>
    <n v="10499"/>
    <s v="كاش"/>
    <d v="2024-09-01T00:00:00"/>
    <d v="2024-09-16T00:00:00"/>
    <d v="2024-09-08T00:00:00"/>
    <n v="15"/>
    <n v="7"/>
    <x v="8"/>
    <s v="تم التسليم عن طريق شركه شحن "/>
    <x v="0"/>
  </r>
  <r>
    <n v="1404561"/>
    <n v="1199284"/>
    <s v="احمد فخرى "/>
    <x v="0"/>
    <n v="1"/>
    <s v="٦ اكتوبر الجيزه "/>
    <x v="0"/>
    <x v="0"/>
    <x v="0"/>
    <s v="فردى"/>
    <s v="نوفال"/>
    <n v="80"/>
    <x v="0"/>
    <m/>
    <n v="1"/>
    <s v="سرير فردى خشب موسكى الحديد ابيض مقاس ٨٠"/>
    <n v="7295"/>
    <s v="كاش"/>
    <d v="2024-09-05T00:00:00"/>
    <d v="2024-09-14T00:00:00"/>
    <m/>
    <n v="9"/>
    <m/>
    <x v="9"/>
    <m/>
    <x v="1"/>
  </r>
  <r>
    <n v="1401137"/>
    <n v="1197500"/>
    <s v="لينا "/>
    <x v="0"/>
    <n v="1"/>
    <s v="المقطم "/>
    <x v="5"/>
    <x v="0"/>
    <x v="1"/>
    <s v="٢ ميكانزم"/>
    <m/>
    <m/>
    <x v="3"/>
    <m/>
    <n v="1"/>
    <s v="ترابيزه قهوه علويه جديده "/>
    <n v="7849"/>
    <s v="مسبق الدفع"/>
    <d v="2024-09-04T00:00:00"/>
    <d v="2024-09-16T00:00:00"/>
    <d v="2024-09-25T00:00:00"/>
    <n v="12"/>
    <n v="21"/>
    <x v="10"/>
    <s v="تم التسليم عن طريق شركه شحن "/>
    <x v="2"/>
  </r>
  <r>
    <m/>
    <m/>
    <s v="فيصل نعيم "/>
    <x v="0"/>
    <n v="1"/>
    <s v="التجمع الخامس "/>
    <x v="5"/>
    <x v="4"/>
    <x v="0"/>
    <s v="دورين"/>
    <s v="كيفنج"/>
    <n v="120"/>
    <x v="1"/>
    <m/>
    <n v="2"/>
    <s v="٢ سرير كيفنج ١٢٠ اسود "/>
    <n v="6180"/>
    <s v="كاش"/>
    <d v="2024-09-03T00:00:00"/>
    <d v="2024-09-16T00:00:00"/>
    <d v="2024-09-15T00:00:00"/>
    <n v="13"/>
    <n v="12"/>
    <x v="5"/>
    <s v="تم التسليم محمود على "/>
    <x v="0"/>
  </r>
  <r>
    <m/>
    <m/>
    <s v="فيصل نعيم "/>
    <x v="0"/>
    <n v="0"/>
    <s v="التجمع الخامس "/>
    <x v="5"/>
    <x v="4"/>
    <x v="0"/>
    <s v="دورين"/>
    <s v="كيفنج"/>
    <n v="120"/>
    <x v="1"/>
    <m/>
    <n v="2"/>
    <s v="٢ سرير كيفنج ١٢٠ اسود "/>
    <n v="6180"/>
    <s v="كاش"/>
    <d v="2024-09-03T00:00:00"/>
    <d v="2024-09-16T00:00:00"/>
    <d v="2024-09-15T00:00:00"/>
    <n v="13"/>
    <n v="12"/>
    <x v="5"/>
    <s v="تم التسليم محمود على "/>
    <x v="0"/>
  </r>
  <r>
    <n v="1400149"/>
    <n v="1196947"/>
    <s v="ellho elkafy"/>
    <x v="0"/>
    <n v="1"/>
    <s v="مدينه نصر "/>
    <x v="5"/>
    <x v="0"/>
    <x v="0"/>
    <s v="دورين"/>
    <s v="كينج"/>
    <n v="80"/>
    <x v="0"/>
    <m/>
    <n v="1"/>
    <s v="سرير كينج ابيض مقاس ٨٠ التصميم الجديد "/>
    <n v="11199"/>
    <s v="كاش"/>
    <d v="2024-09-04T00:00:00"/>
    <d v="2024-09-18T00:00:00"/>
    <m/>
    <n v="14"/>
    <m/>
    <x v="11"/>
    <m/>
    <x v="1"/>
  </r>
  <r>
    <n v="1408099"/>
    <n v="1201057"/>
    <s v="احمد "/>
    <x v="0"/>
    <n v="0"/>
    <s v="القاهره الجديده"/>
    <x v="5"/>
    <x v="0"/>
    <x v="0"/>
    <s v="فردى"/>
    <s v="فورجينا"/>
    <n v="80"/>
    <x v="0"/>
    <m/>
    <n v="4"/>
    <s v="٤سرير فردى خشب موسكى الحديد ابيض مقاس ٨٠"/>
    <n v="7987"/>
    <s v="مسبق الدفع"/>
    <d v="2024-09-06T00:00:00"/>
    <d v="2024-09-16T00:00:00"/>
    <d v="2024-09-21T00:00:00"/>
    <n v="10"/>
    <n v="15"/>
    <x v="12"/>
    <s v="تم التسليم محمود على "/>
    <x v="0"/>
  </r>
  <r>
    <m/>
    <m/>
    <s v="تاكى"/>
    <x v="1"/>
    <n v="0"/>
    <s v="العباسيه"/>
    <x v="5"/>
    <x v="3"/>
    <x v="5"/>
    <s v="فنيسيا"/>
    <m/>
    <m/>
    <x v="3"/>
    <m/>
    <n v="2"/>
    <s v="٢ فوتيه فنيسيا "/>
    <n v="9300"/>
    <s v="كاش"/>
    <d v="2024-09-04T00:00:00"/>
    <d v="2024-09-15T00:00:00"/>
    <d v="2024-09-17T00:00:00"/>
    <n v="11"/>
    <n v="13"/>
    <x v="4"/>
    <s v="تم التسليم محمود على "/>
    <x v="0"/>
  </r>
  <r>
    <n v="1408098"/>
    <n v="1201057"/>
    <s v="احمد "/>
    <x v="0"/>
    <n v="0"/>
    <s v="القاهره الجديده"/>
    <x v="5"/>
    <x v="0"/>
    <x v="0"/>
    <s v="فردى"/>
    <s v="فورجينا"/>
    <n v="80"/>
    <x v="0"/>
    <m/>
    <n v="4"/>
    <s v="٤سرير فردى خشب موسكى الحديد ابيض مقاس ٨٠"/>
    <n v="7987"/>
    <s v="مسبق الدفع"/>
    <d v="2024-09-06T00:00:00"/>
    <d v="2024-09-16T00:00:00"/>
    <d v="2024-09-21T00:00:00"/>
    <n v="10"/>
    <n v="15"/>
    <x v="12"/>
    <s v="تم التسليم محمود على "/>
    <x v="0"/>
  </r>
  <r>
    <n v="1408100"/>
    <n v="1201057"/>
    <s v="احمد "/>
    <x v="0"/>
    <n v="0"/>
    <s v="القاهره الجديده"/>
    <x v="5"/>
    <x v="0"/>
    <x v="0"/>
    <s v="فردى"/>
    <s v="فورجينا"/>
    <n v="80"/>
    <x v="0"/>
    <m/>
    <n v="4"/>
    <s v="٤سرير فردى خشب موسكى الحديد ابيض مقاس ٨٠"/>
    <n v="7987"/>
    <s v="مسبق الدفع"/>
    <d v="2024-09-06T00:00:00"/>
    <d v="2024-09-16T00:00:00"/>
    <d v="2024-09-21T00:00:00"/>
    <n v="10"/>
    <n v="15"/>
    <x v="12"/>
    <s v="تم التسليم محمود على "/>
    <x v="0"/>
  </r>
  <r>
    <n v="1408101"/>
    <n v="1201057"/>
    <s v="احمد "/>
    <x v="0"/>
    <n v="0"/>
    <s v="القاهره الجديده"/>
    <x v="5"/>
    <x v="0"/>
    <x v="0"/>
    <s v="فردى"/>
    <s v="فورجينا"/>
    <n v="80"/>
    <x v="0"/>
    <m/>
    <n v="4"/>
    <s v="٤سرير فردى خشب موسكى الحديد ابيض مقاس ٨٠"/>
    <n v="7987"/>
    <s v="مسبق الدفع"/>
    <d v="2024-09-06T00:00:00"/>
    <d v="2024-09-16T00:00:00"/>
    <d v="2024-09-21T00:00:00"/>
    <n v="10"/>
    <n v="15"/>
    <x v="12"/>
    <s v="تم التسليم محمود على "/>
    <x v="0"/>
  </r>
  <r>
    <n v="1513856"/>
    <n v="1231946"/>
    <s v="صفاء"/>
    <x v="0"/>
    <n v="1"/>
    <s v="المعادى"/>
    <x v="5"/>
    <x v="0"/>
    <x v="1"/>
    <s v="٢ ميكانزم"/>
    <m/>
    <m/>
    <x v="3"/>
    <m/>
    <n v="1"/>
    <s v="ترابيزه قهوه علويه جديده "/>
    <n v="8849"/>
    <s v="مسبق الدفع"/>
    <d v="2024-09-03T00:00:00"/>
    <d v="2024-10-16T00:00:00"/>
    <m/>
    <n v="43"/>
    <m/>
    <x v="13"/>
    <m/>
    <x v="1"/>
  </r>
  <r>
    <n v="1411691"/>
    <n v="1202775"/>
    <s v="حسن حازم"/>
    <x v="0"/>
    <n v="1"/>
    <s v="٦ اكتوبر الجيزه "/>
    <x v="0"/>
    <x v="0"/>
    <x v="0"/>
    <s v="فردى"/>
    <s v="اسبانى"/>
    <n v="120"/>
    <x v="0"/>
    <m/>
    <n v="1"/>
    <s v="سرير اسبانى ابيض ١٢٠"/>
    <n v="10987"/>
    <s v="مسبق الدفع"/>
    <d v="2024-09-09T00:00:00"/>
    <d v="2024-09-17T00:00:00"/>
    <d v="2024-09-21T00:00:00"/>
    <n v="8"/>
    <n v="12"/>
    <x v="14"/>
    <s v="تم التسليم محمود على "/>
    <x v="0"/>
  </r>
  <r>
    <m/>
    <m/>
    <s v="شيك هومز"/>
    <x v="1"/>
    <n v="0"/>
    <m/>
    <x v="4"/>
    <x v="1"/>
    <x v="0"/>
    <s v="دورين"/>
    <s v="كينج"/>
    <n v="100"/>
    <x v="0"/>
    <m/>
    <n v="1"/>
    <s v="سرير كينج ابيض "/>
    <n v="9208"/>
    <s v="كاش"/>
    <d v="2024-09-01T00:00:00"/>
    <d v="2024-09-19T00:00:00"/>
    <d v="2024-09-21T00:00:00"/>
    <n v="18"/>
    <n v="20"/>
    <x v="4"/>
    <s v="تم التسليم محمود على "/>
    <x v="0"/>
  </r>
  <r>
    <m/>
    <m/>
    <s v="شيك هومز"/>
    <x v="1"/>
    <n v="0"/>
    <m/>
    <x v="4"/>
    <x v="1"/>
    <x v="0"/>
    <s v="دورين"/>
    <s v="كينج"/>
    <n v="100"/>
    <x v="1"/>
    <m/>
    <n v="1"/>
    <s v="سرير كينج اسود "/>
    <n v="9208"/>
    <s v="كاش"/>
    <d v="2024-09-01T00:00:00"/>
    <d v="2024-09-19T00:00:00"/>
    <d v="2024-09-21T00:00:00"/>
    <n v="18"/>
    <n v="20"/>
    <x v="4"/>
    <s v="تم التسليم محمود على "/>
    <x v="0"/>
  </r>
  <r>
    <m/>
    <m/>
    <s v="اوسكار راتن"/>
    <x v="1"/>
    <n v="1"/>
    <s v="مخزن اوسكار في القناطر "/>
    <x v="6"/>
    <x v="4"/>
    <x v="0"/>
    <s v="فردى"/>
    <s v="فورجينا"/>
    <n v="120"/>
    <x v="0"/>
    <m/>
    <n v="2"/>
    <s v="٢ سريرفورجينا خشب موسكى ابيض مقاس ١٢٠"/>
    <n v="4020"/>
    <s v="حساب شركه"/>
    <d v="2024-09-12T00:00:00"/>
    <d v="2024-09-21T00:00:00"/>
    <d v="2024-09-22T00:00:00"/>
    <n v="9"/>
    <n v="10"/>
    <x v="15"/>
    <s v="تم التسليم محمود على "/>
    <x v="0"/>
  </r>
  <r>
    <m/>
    <m/>
    <s v="اوسكار راتن"/>
    <x v="1"/>
    <n v="0"/>
    <s v="مخزن اوسكار في القناطر "/>
    <x v="6"/>
    <x v="4"/>
    <x v="0"/>
    <s v="فردى"/>
    <s v="فورجينا"/>
    <n v="120"/>
    <x v="0"/>
    <m/>
    <n v="2"/>
    <s v="٢ سريرفورجينا خشب موسكى ابيض مقاس ١٢٠"/>
    <n v="4020"/>
    <s v="حساب شركه"/>
    <d v="2024-09-12T00:00:00"/>
    <d v="2024-09-21T00:00:00"/>
    <d v="2024-09-22T00:00:00"/>
    <n v="9"/>
    <n v="10"/>
    <x v="15"/>
    <s v="تم التسليم محمود على "/>
    <x v="0"/>
  </r>
  <r>
    <m/>
    <m/>
    <s v="اوسكار راتن"/>
    <x v="1"/>
    <n v="0"/>
    <s v="مخزن اوسكار في القناطر "/>
    <x v="6"/>
    <x v="4"/>
    <x v="0"/>
    <s v="فردى"/>
    <s v="ارفيل"/>
    <n v="120"/>
    <x v="1"/>
    <m/>
    <n v="2"/>
    <s v="٢ سرير ارفيل ١٢٠ اسود "/>
    <n v="4020"/>
    <s v="مسبق الدفع"/>
    <d v="2024-09-12T00:00:00"/>
    <d v="2024-09-21T00:00:00"/>
    <d v="2024-09-22T00:00:00"/>
    <n v="9"/>
    <n v="10"/>
    <x v="15"/>
    <s v="تم التسليم محمود على "/>
    <x v="0"/>
  </r>
  <r>
    <m/>
    <m/>
    <s v="اوسكار راتن"/>
    <x v="1"/>
    <n v="0"/>
    <s v="مخزن اوسكار في القناطر "/>
    <x v="6"/>
    <x v="4"/>
    <x v="0"/>
    <s v="فردى"/>
    <s v="ارفيل"/>
    <n v="120"/>
    <x v="1"/>
    <m/>
    <n v="2"/>
    <s v="٢ سرير ارفيل ١٢٠ اسود "/>
    <n v="4020"/>
    <s v="مسبق الدفع"/>
    <d v="2024-09-12T00:00:00"/>
    <d v="2024-09-21T00:00:00"/>
    <d v="2024-09-22T00:00:00"/>
    <n v="9"/>
    <n v="10"/>
    <x v="15"/>
    <s v="تم التسليم محمود على "/>
    <x v="0"/>
  </r>
  <r>
    <n v="1509211"/>
    <n v="1230837"/>
    <s v="صفاء الحكيم"/>
    <x v="0"/>
    <n v="1"/>
    <s v="العين السخنه"/>
    <x v="7"/>
    <x v="0"/>
    <x v="0"/>
    <s v="منطبق"/>
    <m/>
    <m/>
    <x v="1"/>
    <s v="اسود"/>
    <n v="1"/>
    <s v="سرير منطببق اسود وقماش اسود"/>
    <n v="9399"/>
    <s v="مسبق الدفع"/>
    <d v="2024-09-14T00:00:00"/>
    <d v="2024-09-22T00:00:00"/>
    <m/>
    <n v="8"/>
    <m/>
    <x v="8"/>
    <s v="فشل التسليم "/>
    <x v="1"/>
  </r>
  <r>
    <n v="1536687"/>
    <n v="1237682"/>
    <s v="يوسف شناوى"/>
    <x v="0"/>
    <n v="1"/>
    <s v="الابراهيميه . الإسكندرية "/>
    <x v="1"/>
    <x v="0"/>
    <x v="1"/>
    <s v="رف سحاب"/>
    <m/>
    <m/>
    <x v="3"/>
    <m/>
    <n v="1"/>
    <s v="ترابيزه قهوه علويه برف سحاب "/>
    <n v="8349"/>
    <s v="مسبق الدفع"/>
    <d v="2024-09-14T00:00:00"/>
    <d v="2024-09-22T00:00:00"/>
    <d v="2024-09-24T00:00:00"/>
    <n v="8"/>
    <n v="10"/>
    <x v="4"/>
    <s v="تم التسليم عن طريق شركه شحن "/>
    <x v="0"/>
  </r>
  <r>
    <n v="1520537"/>
    <n v="1233624"/>
    <s v="حاتم العيسوي "/>
    <x v="0"/>
    <n v="1"/>
    <s v="٦ اكتوبر الجيزه "/>
    <x v="0"/>
    <x v="0"/>
    <x v="0"/>
    <s v="منطبق"/>
    <m/>
    <m/>
    <x v="1"/>
    <s v="اسود"/>
    <n v="1"/>
    <s v="سرير منطبق اسود حديد وقماش"/>
    <n v="9399"/>
    <s v="مسبق الدفع"/>
    <d v="2024-09-13T00:00:00"/>
    <d v="2024-09-24T00:00:00"/>
    <d v="2024-09-30T00:00:00"/>
    <n v="11"/>
    <n v="17"/>
    <x v="16"/>
    <s v="تم التسليم عن طريق شركه شحن "/>
    <x v="0"/>
  </r>
  <r>
    <n v="1422998"/>
    <n v="1207350"/>
    <s v="رنا "/>
    <x v="0"/>
    <n v="1"/>
    <s v="القطاميه "/>
    <x v="5"/>
    <x v="0"/>
    <x v="1"/>
    <s v="٢ ميكانزم"/>
    <m/>
    <m/>
    <x v="3"/>
    <m/>
    <n v="1"/>
    <s v="ترابيزه قهوه علويه جديده "/>
    <n v="7849"/>
    <s v="كاش"/>
    <d v="2024-09-12T00:00:00"/>
    <d v="2024-09-26T00:00:00"/>
    <m/>
    <n v="14"/>
    <m/>
    <x v="11"/>
    <s v="تم التسليم عن طريق شركه شحن "/>
    <x v="0"/>
  </r>
  <r>
    <m/>
    <m/>
    <s v="عبير نور الدين"/>
    <x v="0"/>
    <n v="1"/>
    <s v="١٨ شارع البحيري بولاق الدكرور الجيزه "/>
    <x v="0"/>
    <x v="2"/>
    <x v="0"/>
    <s v="ثلاثه ادوار"/>
    <s v="كيفنج"/>
    <n v="100"/>
    <x v="1"/>
    <m/>
    <n v="1"/>
    <s v="سرير ٣ ادورا اسود مقاس ١٠٠ "/>
    <n v="9450"/>
    <s v="كاش"/>
    <d v="2024-09-12T00:00:00"/>
    <d v="2024-09-26T00:00:00"/>
    <m/>
    <n v="14"/>
    <m/>
    <x v="11"/>
    <m/>
    <x v="1"/>
  </r>
  <r>
    <n v="1459790"/>
    <n v="1218257"/>
    <s v="اسراء ابو العنين "/>
    <x v="0"/>
    <n v="1"/>
    <s v="القاهره الجديده"/>
    <x v="5"/>
    <x v="0"/>
    <x v="0"/>
    <s v="فردى"/>
    <s v="اسبانى"/>
    <n v="120"/>
    <x v="1"/>
    <m/>
    <n v="1"/>
    <s v="سرير اسبانى اسود مقاس ١٢٠"/>
    <n v="7460"/>
    <s v="مسبق الدفع"/>
    <d v="2024-09-13T00:00:00"/>
    <d v="2024-09-26T00:00:00"/>
    <d v="2024-10-03T00:00:00"/>
    <n v="13"/>
    <n v="20"/>
    <x v="6"/>
    <s v="تم التسليم محمود على "/>
    <x v="0"/>
  </r>
  <r>
    <n v="1455486"/>
    <n v="1217163"/>
    <s v="وائل صادق"/>
    <x v="0"/>
    <n v="1"/>
    <s v="القاهره الجديده"/>
    <x v="5"/>
    <x v="0"/>
    <x v="0"/>
    <s v="فردى"/>
    <s v="كورين"/>
    <n v="140"/>
    <x v="5"/>
    <s v="رمادى"/>
    <n v="1"/>
    <s v="سرير كوين مقاس ١٤٠ دهبي ورمادى "/>
    <n v="9528"/>
    <s v="مسبق الدفع"/>
    <d v="2024-09-13T00:00:00"/>
    <d v="2024-09-26T00:00:00"/>
    <d v="2024-10-03T00:00:00"/>
    <n v="13"/>
    <n v="20"/>
    <x v="6"/>
    <s v="تم التسليم محمود على "/>
    <x v="0"/>
  </r>
  <r>
    <n v="1504407"/>
    <n v="1229760"/>
    <s v="حسن مغرب "/>
    <x v="0"/>
    <n v="1"/>
    <s v="٦ اكتوبر الجيزه "/>
    <x v="0"/>
    <x v="0"/>
    <x v="0"/>
    <s v="دورين"/>
    <s v="كيفنج"/>
    <n v="120"/>
    <x v="4"/>
    <m/>
    <n v="1"/>
    <s v="سرير كيفنج ١٢٠ رمادى "/>
    <n v="12999"/>
    <s v="مسبق الدفع"/>
    <d v="2024-09-14T00:00:00"/>
    <d v="2024-09-27T00:00:00"/>
    <d v="2024-10-02T00:00:00"/>
    <n v="13"/>
    <n v="18"/>
    <x v="12"/>
    <s v="تم التسليم محمود على "/>
    <x v="0"/>
  </r>
  <r>
    <n v="1423361"/>
    <n v="1207484"/>
    <s v="على السيد "/>
    <x v="0"/>
    <n v="1"/>
    <s v="الشروق القاهره "/>
    <x v="5"/>
    <x v="0"/>
    <x v="0"/>
    <s v="دورين"/>
    <s v="نوفال"/>
    <n v="90"/>
    <x v="1"/>
    <m/>
    <n v="1"/>
    <s v="سرير نوفال  ٩٠ اسود "/>
    <n v="5999"/>
    <s v="مسبق الدفع"/>
    <d v="2024-09-12T00:00:00"/>
    <d v="2024-09-29T00:00:00"/>
    <m/>
    <n v="17"/>
    <m/>
    <x v="17"/>
    <m/>
    <x v="1"/>
  </r>
  <r>
    <n v="1415725"/>
    <n v="1204732"/>
    <s v="هشام بسيونى "/>
    <x v="0"/>
    <n v="1"/>
    <s v="حدايق الاهرام "/>
    <x v="0"/>
    <x v="0"/>
    <x v="0"/>
    <s v="دورين"/>
    <s v="كيفنج"/>
    <n v="100"/>
    <x v="1"/>
    <m/>
    <n v="2"/>
    <s v="            ٢ سرير كيفنج ١٠٠ اسود "/>
    <n v="11949"/>
    <s v="كاش"/>
    <d v="2024-09-12T00:00:00"/>
    <d v="2024-09-29T00:00:00"/>
    <d v="2024-10-02T00:00:00"/>
    <n v="17"/>
    <n v="20"/>
    <x v="18"/>
    <s v="تم التسليم محمود على "/>
    <x v="0"/>
  </r>
  <r>
    <n v="1415726"/>
    <n v="1204732"/>
    <s v="هشام بسيونى "/>
    <x v="0"/>
    <n v="0"/>
    <s v="حدايق الاهرام "/>
    <x v="0"/>
    <x v="0"/>
    <x v="0"/>
    <s v="دورين"/>
    <s v="كيفنج"/>
    <n v="100"/>
    <x v="1"/>
    <m/>
    <n v="2"/>
    <s v="            ٢ سرير كيفنج ١٠٠ اسود "/>
    <n v="11949"/>
    <s v="كاش"/>
    <d v="2024-09-12T00:00:00"/>
    <d v="2024-09-29T00:00:00"/>
    <d v="2024-10-02T00:00:00"/>
    <n v="17"/>
    <n v="20"/>
    <x v="18"/>
    <s v="تم التسليم محمود على "/>
    <x v="0"/>
  </r>
  <r>
    <n v="1499397"/>
    <n v="1228586"/>
    <s v="احمد "/>
    <x v="0"/>
    <n v="0"/>
    <s v="الشروق"/>
    <x v="5"/>
    <x v="0"/>
    <x v="0"/>
    <s v="ثلاثه ادوار"/>
    <s v="كيفنج"/>
    <n v="80"/>
    <x v="0"/>
    <m/>
    <n v="3"/>
    <s v="سرير ٣ ادوار ابيض مقاس ٨٠ ابيض "/>
    <n v="16599"/>
    <s v="مسبق الدفع"/>
    <d v="2024-09-13T00:00:00"/>
    <d v="2024-09-30T00:00:00"/>
    <d v="2024-10-03T00:00:00"/>
    <n v="17"/>
    <n v="20"/>
    <x v="18"/>
    <s v="تم التسليم محمود على "/>
    <x v="0"/>
  </r>
  <r>
    <n v="1458696"/>
    <n v="1217982"/>
    <s v="ساره وجيه "/>
    <x v="0"/>
    <n v="1"/>
    <s v="الغردقه "/>
    <x v="3"/>
    <x v="0"/>
    <x v="0"/>
    <s v="دورين"/>
    <s v="كيفنج"/>
    <n v="80"/>
    <x v="0"/>
    <m/>
    <n v="1"/>
    <s v="سرير كيفنج دورين مقاس ٨٠ ابيض "/>
    <n v="10999"/>
    <s v="مسبق الدفع"/>
    <d v="2024-09-13T00:00:00"/>
    <d v="2024-09-30T00:00:00"/>
    <d v="2024-10-16T00:00:00"/>
    <n v="17"/>
    <n v="33"/>
    <x v="7"/>
    <s v="تم التسليم عن طريق شركه شحن "/>
    <x v="0"/>
  </r>
  <r>
    <n v="1480814"/>
    <n v="1223964"/>
    <s v="مها "/>
    <x v="0"/>
    <n v="1"/>
    <s v="لافيستا العين السخنه "/>
    <x v="7"/>
    <x v="0"/>
    <x v="0"/>
    <s v="دورين"/>
    <s v="كيفنج"/>
    <n v="140"/>
    <x v="2"/>
    <m/>
    <n v="1"/>
    <s v="سرير استيل ازرق مقاس ١٤٠"/>
    <n v="13099"/>
    <s v="مسبق الدفع"/>
    <d v="2024-09-13T00:00:00"/>
    <d v="2024-09-30T00:00:00"/>
    <d v="2024-10-03T00:00:00"/>
    <n v="17"/>
    <n v="20"/>
    <x v="18"/>
    <s v="تم التسليم عن طريق شركه شحن "/>
    <x v="0"/>
  </r>
  <r>
    <n v="1492471"/>
    <n v="1227052"/>
    <s v="بسام الشربينى "/>
    <x v="0"/>
    <n v="1"/>
    <s v="٦ اكتوبر الجيزه "/>
    <x v="0"/>
    <x v="0"/>
    <x v="0"/>
    <s v="دورين"/>
    <s v="كينج"/>
    <n v="120"/>
    <x v="6"/>
    <m/>
    <n v="1"/>
    <s v="سرير كينج ١٢٠ بنفسجى "/>
    <n v="13849"/>
    <s v="مسبق الدفع"/>
    <d v="2024-09-13T00:00:00"/>
    <d v="2024-09-30T00:00:00"/>
    <d v="2024-10-20T00:00:00"/>
    <n v="17"/>
    <n v="37"/>
    <x v="19"/>
    <s v="تم التسليم محمود على "/>
    <x v="0"/>
  </r>
  <r>
    <n v="1507912"/>
    <n v="1230527"/>
    <s v="هبه عبد الفتاح "/>
    <x v="0"/>
    <n v="1"/>
    <s v="القاهره الجديده "/>
    <x v="5"/>
    <x v="0"/>
    <x v="4"/>
    <s v="4×1"/>
    <m/>
    <m/>
    <x v="1"/>
    <s v="رمادى"/>
    <n v="1"/>
    <s v="كنبه سرير ٤ حركه "/>
    <n v="21999"/>
    <s v="مسبق الدفع"/>
    <d v="2024-09-13T00:00:00"/>
    <d v="2024-09-30T00:00:00"/>
    <m/>
    <n v="17"/>
    <m/>
    <x v="17"/>
    <s v="تم التسليم محمود على "/>
    <x v="0"/>
  </r>
  <r>
    <n v="1525747"/>
    <n v="1234936"/>
    <s v="اسراء ابراهيم "/>
    <x v="0"/>
    <n v="1"/>
    <s v="٦ اكتوبر الجيزه "/>
    <x v="0"/>
    <x v="0"/>
    <x v="0"/>
    <s v="دورين"/>
    <s v="كيفنج"/>
    <n v="80"/>
    <x v="0"/>
    <m/>
    <n v="1"/>
    <s v="سرير كيفنج دورين مقاس ٨٠ ابيض "/>
    <n v="10999"/>
    <s v="مسبق الدفع"/>
    <d v="2024-09-13T00:00:00"/>
    <d v="2024-09-30T00:00:00"/>
    <d v="2024-10-15T00:00:00"/>
    <n v="17"/>
    <n v="32"/>
    <x v="20"/>
    <s v="تم التسليم محمود على "/>
    <x v="0"/>
  </r>
  <r>
    <n v="1536313"/>
    <n v="1237601"/>
    <s v="طارق كمال "/>
    <x v="0"/>
    <n v="1"/>
    <s v="المعادى"/>
    <x v="5"/>
    <x v="0"/>
    <x v="0"/>
    <s v="ثلاثه ادوار"/>
    <s v="كيفنج"/>
    <n v="90"/>
    <x v="1"/>
    <m/>
    <n v="1"/>
    <s v="سرير ٣ ادوار اسود مقاس ٩٠ "/>
    <n v="17249"/>
    <s v="مسبق الدفع"/>
    <d v="2024-09-13T00:00:00"/>
    <d v="2024-09-30T00:00:00"/>
    <d v="2024-10-04T00:00:00"/>
    <n v="17"/>
    <n v="21"/>
    <x v="14"/>
    <s v="تم التسليم محمود على "/>
    <x v="0"/>
  </r>
  <r>
    <n v="1505609"/>
    <n v="1230031"/>
    <s v="ديفد بهجت "/>
    <x v="0"/>
    <n v="1"/>
    <s v="فيصل الجيزه"/>
    <x v="0"/>
    <x v="0"/>
    <x v="1"/>
    <s v="٢ ميكانزم"/>
    <m/>
    <m/>
    <x v="3"/>
    <m/>
    <n v="1"/>
    <s v="تربيزه قهوه ٢ رافع"/>
    <n v="8349"/>
    <s v="مسبق الدفع"/>
    <d v="2024-09-14T00:00:00"/>
    <d v="2024-10-16T00:00:00"/>
    <d v="2024-10-21T00:00:00"/>
    <n v="32"/>
    <n v="37"/>
    <x v="12"/>
    <s v="تم التسليم محمود على "/>
    <x v="0"/>
  </r>
  <r>
    <n v="1612229"/>
    <n v="1254076"/>
    <s v="اياد "/>
    <x v="0"/>
    <n v="1"/>
    <s v="المقطم "/>
    <x v="5"/>
    <x v="0"/>
    <x v="1"/>
    <s v="بمكتبة"/>
    <m/>
    <m/>
    <x v="3"/>
    <m/>
    <n v="1"/>
    <s v="ترابيزه قهوه متحركه "/>
    <n v="7849"/>
    <s v="مسبق الدفع"/>
    <d v="2024-09-14T00:00:00"/>
    <d v="2024-10-29T00:00:00"/>
    <d v="2024-10-30T00:00:00"/>
    <n v="45"/>
    <n v="46"/>
    <x v="15"/>
    <s v="تم التسليم محمود على "/>
    <x v="0"/>
  </r>
  <r>
    <n v="1673771"/>
    <n v="1269559"/>
    <s v="ميار خورشد"/>
    <x v="0"/>
    <n v="1"/>
    <s v="٦ اكتوبر الجيزه "/>
    <x v="0"/>
    <x v="0"/>
    <x v="0"/>
    <s v="منطبق"/>
    <m/>
    <m/>
    <x v="1"/>
    <s v="اسود"/>
    <n v="1"/>
    <s v="سرير منطبق اسود حديد ومعدن "/>
    <n v="9399"/>
    <s v="مسبق الدفع"/>
    <d v="2024-09-14T00:00:00"/>
    <d v="2024-10-29T00:00:00"/>
    <d v="2024-10-15T00:00:00"/>
    <n v="45"/>
    <n v="31"/>
    <x v="11"/>
    <s v="تم التسليم محمود على "/>
    <x v="0"/>
  </r>
  <r>
    <n v="1667352"/>
    <n v="1267819"/>
    <s v="عبد الله سيد "/>
    <x v="0"/>
    <n v="1"/>
    <s v="الشيخ زايد ٦ اكتوبر "/>
    <x v="0"/>
    <x v="0"/>
    <x v="0"/>
    <s v="فردى"/>
    <s v="اسبانى"/>
    <n v="140"/>
    <x v="1"/>
    <m/>
    <n v="1"/>
    <s v="سرير اسبانى  ١٤٠ اسود وبيج "/>
    <n v="11817"/>
    <s v="مسبق الدفع"/>
    <d v="2024-09-14T00:00:00"/>
    <d v="2024-10-29T00:00:00"/>
    <d v="2024-10-15T00:00:00"/>
    <n v="45"/>
    <n v="31"/>
    <x v="11"/>
    <s v="تم التسليم محمود على "/>
    <x v="0"/>
  </r>
  <r>
    <n v="1649781"/>
    <n v="1263160"/>
    <s v="كينج سونا "/>
    <x v="0"/>
    <n v="1"/>
    <s v="الشروق"/>
    <x v="5"/>
    <x v="0"/>
    <x v="1"/>
    <s v="رف سحاب"/>
    <m/>
    <m/>
    <x v="3"/>
    <m/>
    <n v="1"/>
    <s v="تربيزه قهوه مرتفعه برف سحاب "/>
    <n v="8349"/>
    <s v="مسبق الدفع"/>
    <d v="2024-09-14T00:00:00"/>
    <d v="2024-10-29T00:00:00"/>
    <d v="2024-10-19T00:00:00"/>
    <n v="45"/>
    <n v="35"/>
    <x v="21"/>
    <s v="تم التسليم محمود على "/>
    <x v="0"/>
  </r>
  <r>
    <n v="1681476"/>
    <n v="1271813"/>
    <s v="احمد خالد "/>
    <x v="0"/>
    <n v="1"/>
    <s v="الرحاب"/>
    <x v="5"/>
    <x v="0"/>
    <x v="0"/>
    <s v="فردى"/>
    <s v="فورجينا"/>
    <n v="120"/>
    <x v="0"/>
    <m/>
    <n v="1"/>
    <s v=" ٢. سرير فورجينا ابيض مقاس ١٢٠"/>
    <n v="17886"/>
    <s v="مسبق الدفع"/>
    <d v="2024-09-14T00:00:00"/>
    <d v="2024-10-29T00:00:00"/>
    <m/>
    <n v="45"/>
    <m/>
    <x v="22"/>
    <m/>
    <x v="1"/>
  </r>
  <r>
    <n v="1681477"/>
    <n v="1271813"/>
    <s v="احمد خالد "/>
    <x v="0"/>
    <n v="0"/>
    <s v="الرحاب"/>
    <x v="5"/>
    <x v="0"/>
    <x v="0"/>
    <s v="فردى"/>
    <s v="فورجينا"/>
    <n v="120"/>
    <x v="0"/>
    <m/>
    <n v="1"/>
    <s v=" ٢. سرير فورجينا ابيض مقاس ١٢٠"/>
    <n v="17886"/>
    <s v="مسبق الدفع"/>
    <d v="2024-09-14T00:00:00"/>
    <d v="2024-10-29T00:00:00"/>
    <m/>
    <n v="45"/>
    <m/>
    <x v="22"/>
    <m/>
    <x v="1"/>
  </r>
  <r>
    <n v="1677530"/>
    <n v="1270704"/>
    <s v="ساره"/>
    <x v="0"/>
    <n v="1"/>
    <s v="القاهره الجديده"/>
    <x v="5"/>
    <x v="0"/>
    <x v="0"/>
    <s v="فردى"/>
    <s v="اسبانى"/>
    <n v="120"/>
    <x v="0"/>
    <m/>
    <n v="1"/>
    <s v="   ٢. سرير اسبانى ابيض ١٢٠"/>
    <n v="10987"/>
    <s v="مسبق الدفع"/>
    <d v="2024-09-14T00:00:00"/>
    <d v="2024-10-29T00:00:00"/>
    <d v="2024-10-13T00:00:00"/>
    <n v="45"/>
    <n v="29"/>
    <x v="23"/>
    <s v="تم التسليم محمود على "/>
    <x v="0"/>
  </r>
  <r>
    <n v="1677528"/>
    <n v="1270704"/>
    <s v="ساره"/>
    <x v="0"/>
    <n v="0"/>
    <s v="القاهره الجديده"/>
    <x v="5"/>
    <x v="0"/>
    <x v="0"/>
    <s v="فردى"/>
    <s v="اسبانى"/>
    <n v="120"/>
    <x v="0"/>
    <m/>
    <n v="1"/>
    <s v="   ٢. سرير اسبانى ابيض ١٢٠"/>
    <n v="10987"/>
    <s v="مسبق الدفع"/>
    <d v="2024-09-14T00:00:00"/>
    <d v="2024-10-29T00:00:00"/>
    <d v="2024-10-13T00:00:00"/>
    <n v="45"/>
    <n v="29"/>
    <x v="23"/>
    <s v="تم التسليم محمود على "/>
    <x v="0"/>
  </r>
  <r>
    <n v="1657744"/>
    <n v="1265268"/>
    <s v="احمد ايمن "/>
    <x v="0"/>
    <n v="1"/>
    <s v="العبور"/>
    <x v="6"/>
    <x v="0"/>
    <x v="1"/>
    <s v="٢ ميكانزم"/>
    <m/>
    <m/>
    <x v="3"/>
    <m/>
    <n v="1"/>
    <s v="ترابيزه قهوه علويه جديده "/>
    <n v="10319"/>
    <s v="مسبق الدفع"/>
    <d v="2024-09-14T00:00:00"/>
    <d v="2024-10-29T00:00:00"/>
    <d v="2024-10-19T00:00:00"/>
    <n v="45"/>
    <n v="35"/>
    <x v="21"/>
    <s v="تم التسليم محمود على "/>
    <x v="0"/>
  </r>
  <r>
    <n v="1610613"/>
    <n v="1253646"/>
    <s v="مصطفي غنيم "/>
    <x v="0"/>
    <n v="1"/>
    <s v="اسيوط "/>
    <x v="8"/>
    <x v="0"/>
    <x v="0"/>
    <s v="دورين"/>
    <s v="كيفنج"/>
    <n v="120"/>
    <x v="4"/>
    <m/>
    <n v="1"/>
    <s v="سرير كيفنج دورين مقاس ١٢٠ رمادى "/>
    <n v="12999"/>
    <s v="مسبق الدفع"/>
    <d v="2024-09-14T00:00:00"/>
    <d v="2024-11-20T00:00:00"/>
    <d v="2024-10-17T00:00:00"/>
    <n v="67"/>
    <n v="33"/>
    <x v="24"/>
    <s v="تم التسليم عن طريق شركه شحن "/>
    <x v="0"/>
  </r>
  <r>
    <n v="1608468"/>
    <n v="1253172"/>
    <s v="حسام عبدون"/>
    <x v="0"/>
    <n v="1"/>
    <s v="الغردقه"/>
    <x v="3"/>
    <x v="0"/>
    <x v="4"/>
    <s v="4×1"/>
    <m/>
    <m/>
    <x v="1"/>
    <s v="رمادى"/>
    <n v="1"/>
    <s v="كنبه سرير ٤ حركه "/>
    <n v="21999"/>
    <s v="مسبق الدفع"/>
    <d v="2024-09-14T00:00:00"/>
    <d v="2024-11-20T00:00:00"/>
    <m/>
    <n v="67"/>
    <m/>
    <x v="25"/>
    <m/>
    <x v="1"/>
  </r>
  <r>
    <n v="1654554"/>
    <n v="1264469"/>
    <s v="رامى "/>
    <x v="0"/>
    <n v="1"/>
    <s v="الشروق"/>
    <x v="5"/>
    <x v="0"/>
    <x v="0"/>
    <s v="دورين"/>
    <s v="نوفال"/>
    <n v="100"/>
    <x v="4"/>
    <m/>
    <n v="1"/>
    <s v="سرير نوفال ١٠٠ رمادى "/>
    <n v="12399"/>
    <s v="مسبق الدفع"/>
    <d v="2024-09-14T00:00:00"/>
    <d v="2024-11-20T00:00:00"/>
    <d v="2024-10-01T00:00:00"/>
    <n v="67"/>
    <n v="17"/>
    <x v="26"/>
    <s v="تم التسليم عن طريق شركه شحن "/>
    <x v="0"/>
  </r>
  <r>
    <n v="1644504"/>
    <n v="1261644"/>
    <s v="رحاب"/>
    <x v="0"/>
    <n v="1"/>
    <s v="القاهره الجديده"/>
    <x v="5"/>
    <x v="0"/>
    <x v="4"/>
    <s v="4×1"/>
    <m/>
    <m/>
    <x v="1"/>
    <s v="رمادى"/>
    <n v="1"/>
    <s v="كنبه سرير ٤ حركه "/>
    <n v="21999"/>
    <s v="مسبق الدفع"/>
    <d v="2024-09-14T00:00:00"/>
    <d v="2024-11-20T00:00:00"/>
    <d v="2024-10-09T00:00:00"/>
    <n v="67"/>
    <n v="25"/>
    <x v="27"/>
    <s v="تم التسليم محمود على "/>
    <x v="0"/>
  </r>
  <r>
    <n v="1655447"/>
    <n v="1264684"/>
    <s v="فؤاد المنسي "/>
    <x v="0"/>
    <n v="1"/>
    <s v="المقطم "/>
    <x v="5"/>
    <x v="0"/>
    <x v="0"/>
    <s v="دورين"/>
    <s v="نوفال"/>
    <n v="80"/>
    <x v="0"/>
    <m/>
    <n v="1"/>
    <s v="سرير نوفال مقاس ٨٠ ابيض "/>
    <n v="10999"/>
    <s v="مسبق الدفع"/>
    <d v="2024-09-14T00:00:00"/>
    <d v="2024-11-20T00:00:00"/>
    <d v="2024-10-16T00:00:00"/>
    <n v="67"/>
    <n v="32"/>
    <x v="28"/>
    <s v="تم التسليم محمود على "/>
    <x v="0"/>
  </r>
  <r>
    <n v="1679731"/>
    <n v="1271291"/>
    <s v="mohannad"/>
    <x v="0"/>
    <n v="1"/>
    <s v="المعادى"/>
    <x v="5"/>
    <x v="0"/>
    <x v="0"/>
    <s v="دورين"/>
    <s v="كيفنج"/>
    <n v="80"/>
    <x v="0"/>
    <m/>
    <n v="1"/>
    <m/>
    <n v="10999"/>
    <s v="مسبق الدفع"/>
    <d v="2024-09-15T00:00:00"/>
    <d v="2024-11-20T00:00:00"/>
    <d v="2024-10-16T00:00:00"/>
    <n v="66"/>
    <n v="31"/>
    <x v="28"/>
    <s v="تم التسليم محمود على "/>
    <x v="0"/>
  </r>
  <r>
    <n v="1679739"/>
    <n v="1271291"/>
    <s v="mohannad"/>
    <x v="0"/>
    <n v="0"/>
    <s v="المعادى"/>
    <x v="5"/>
    <x v="0"/>
    <x v="0"/>
    <s v="دورين"/>
    <s v="كيفنج"/>
    <n v="80"/>
    <x v="0"/>
    <m/>
    <n v="1"/>
    <m/>
    <n v="10999"/>
    <s v="مسبق الدفع"/>
    <d v="2024-09-15T00:00:00"/>
    <d v="2024-11-20T00:00:00"/>
    <d v="2024-10-16T00:00:00"/>
    <n v="66"/>
    <n v="31"/>
    <x v="28"/>
    <s v="تم التسليم محمود على "/>
    <x v="0"/>
  </r>
  <r>
    <n v="1670668"/>
    <n v="1268695"/>
    <s v="Mohamed Ayman"/>
    <x v="0"/>
    <n v="1"/>
    <s v="مدينة بدر"/>
    <x v="5"/>
    <x v="0"/>
    <x v="4"/>
    <s v="4×1"/>
    <m/>
    <m/>
    <x v="1"/>
    <s v="رمادى"/>
    <n v="1"/>
    <m/>
    <n v="21999"/>
    <s v="مسبق الدفع"/>
    <d v="2024-09-15T00:00:00"/>
    <d v="2024-11-20T00:00:00"/>
    <d v="2024-10-19T00:00:00"/>
    <n v="66"/>
    <n v="34"/>
    <x v="29"/>
    <s v="تم التسليم محمود على "/>
    <x v="0"/>
  </r>
  <r>
    <n v="1416625"/>
    <n v="1205197"/>
    <s v="اسامه"/>
    <x v="0"/>
    <n v="1"/>
    <s v="العين السخنه"/>
    <x v="7"/>
    <x v="0"/>
    <x v="1"/>
    <s v="٢ ميكانزم"/>
    <m/>
    <m/>
    <x v="3"/>
    <m/>
    <n v="1"/>
    <m/>
    <n v="7849"/>
    <s v="كاش"/>
    <d v="2024-09-16T00:00:00"/>
    <d v="2024-10-30T00:00:00"/>
    <d v="2024-11-14T00:00:00"/>
    <n v="44"/>
    <n v="59"/>
    <x v="20"/>
    <s v="تم التسليم عن طريق شركه شحن "/>
    <x v="0"/>
  </r>
  <r>
    <m/>
    <m/>
    <s v="اوسكار راتن"/>
    <x v="1"/>
    <n v="0"/>
    <s v="المخزن ابو الغيط "/>
    <x v="6"/>
    <x v="4"/>
    <x v="0"/>
    <s v="دورين"/>
    <s v="كيفنج"/>
    <n v="80"/>
    <x v="0"/>
    <m/>
    <n v="1"/>
    <m/>
    <n v="5074"/>
    <s v="حساب شركه"/>
    <d v="2024-09-21T00:00:00"/>
    <d v="2024-10-05T00:00:00"/>
    <d v="2024-10-12T00:00:00"/>
    <n v="14"/>
    <n v="21"/>
    <x v="6"/>
    <s v="تم التسليم محمود على "/>
    <x v="0"/>
  </r>
  <r>
    <n v="2514"/>
    <n v="2514"/>
    <s v="تاكى"/>
    <x v="1"/>
    <n v="0"/>
    <s v="العباسيه"/>
    <x v="5"/>
    <x v="3"/>
    <x v="0"/>
    <s v="دورين"/>
    <s v="كينج"/>
    <n v="100"/>
    <x v="7"/>
    <m/>
    <n v="1"/>
    <m/>
    <n v="6250"/>
    <s v="حساب شركه"/>
    <d v="2024-09-23T00:00:00"/>
    <d v="2024-10-08T00:00:00"/>
    <d v="2024-10-17T00:00:00"/>
    <n v="15"/>
    <n v="24"/>
    <x v="10"/>
    <s v="تم التسليم محمود على "/>
    <x v="0"/>
  </r>
  <r>
    <n v="2514"/>
    <n v="2514"/>
    <s v="تاكى"/>
    <x v="1"/>
    <n v="0"/>
    <s v="العباسيه"/>
    <x v="5"/>
    <x v="3"/>
    <x v="0"/>
    <s v="دورين"/>
    <s v="كينج"/>
    <n v="100"/>
    <x v="7"/>
    <m/>
    <n v="1"/>
    <m/>
    <n v="6250"/>
    <s v="حساب شركه"/>
    <d v="2024-09-23T00:00:00"/>
    <d v="2024-10-08T00:00:00"/>
    <d v="2024-10-17T00:00:00"/>
    <n v="15"/>
    <n v="24"/>
    <x v="10"/>
    <s v="تم التسليم محمود على "/>
    <x v="0"/>
  </r>
  <r>
    <n v="1706794"/>
    <n v="1281428"/>
    <s v="ولاء بدوى"/>
    <x v="0"/>
    <n v="1"/>
    <s v="العباسيه"/>
    <x v="5"/>
    <x v="0"/>
    <x v="0"/>
    <s v="فردى"/>
    <s v="فورجينا"/>
    <n v="120"/>
    <x v="0"/>
    <m/>
    <n v="1"/>
    <m/>
    <n v="8943"/>
    <s v="كاش"/>
    <d v="2024-09-26T00:00:00"/>
    <d v="2024-11-10T00:00:00"/>
    <d v="2024-10-10T00:00:00"/>
    <n v="45"/>
    <n v="14"/>
    <x v="30"/>
    <s v="تم التسليم محمود على "/>
    <x v="0"/>
  </r>
  <r>
    <n v="1704621"/>
    <n v="1280197"/>
    <s v="عبد الرحمن يسري"/>
    <x v="0"/>
    <n v="1"/>
    <s v="اكتوبر الجيزه"/>
    <x v="0"/>
    <x v="0"/>
    <x v="1"/>
    <s v="رف سحاب"/>
    <m/>
    <m/>
    <x v="3"/>
    <m/>
    <n v="1"/>
    <m/>
    <n v="8349"/>
    <s v="كاش"/>
    <d v="2024-09-26T00:00:00"/>
    <d v="2024-11-10T00:00:00"/>
    <m/>
    <n v="45"/>
    <m/>
    <x v="22"/>
    <m/>
    <x v="1"/>
  </r>
  <r>
    <n v="240078066"/>
    <m/>
    <s v="شيك هومز"/>
    <x v="1"/>
    <n v="0"/>
    <s v="التجمع"/>
    <x v="5"/>
    <x v="1"/>
    <x v="4"/>
    <s v="4×1"/>
    <m/>
    <m/>
    <x v="3"/>
    <s v="نبيتى "/>
    <n v="1"/>
    <m/>
    <n v="14950"/>
    <s v="مسبق الدفع"/>
    <d v="2024-09-26T00:00:00"/>
    <d v="2024-10-14T00:00:00"/>
    <d v="2024-10-13T00:00:00"/>
    <n v="18"/>
    <n v="17"/>
    <x v="5"/>
    <s v="تم التسليم محمود على "/>
    <x v="0"/>
  </r>
  <r>
    <n v="240077789"/>
    <m/>
    <s v="شيك هومز"/>
    <x v="1"/>
    <n v="0"/>
    <m/>
    <x v="4"/>
    <x v="1"/>
    <x v="0"/>
    <s v="دورين"/>
    <s v="كينج"/>
    <n v="100"/>
    <x v="8"/>
    <m/>
    <n v="1"/>
    <m/>
    <n v="9208"/>
    <s v="كاش"/>
    <d v="2024-09-26T00:00:00"/>
    <d v="2024-10-14T00:00:00"/>
    <m/>
    <n v="18"/>
    <m/>
    <x v="31"/>
    <m/>
    <x v="1"/>
  </r>
  <r>
    <n v="240078390"/>
    <m/>
    <s v="شيك هومز"/>
    <x v="1"/>
    <n v="0"/>
    <m/>
    <x v="4"/>
    <x v="1"/>
    <x v="0"/>
    <s v="فردى"/>
    <s v="اسبانى"/>
    <n v="120"/>
    <x v="0"/>
    <m/>
    <n v="1"/>
    <m/>
    <n v="7433"/>
    <s v="مسبق الدفع"/>
    <d v="2024-09-29T00:00:00"/>
    <d v="2024-10-20T00:00:00"/>
    <d v="2024-10-21T00:00:00"/>
    <n v="21"/>
    <n v="22"/>
    <x v="15"/>
    <s v="تم التسليم محمود على "/>
    <x v="0"/>
  </r>
  <r>
    <m/>
    <m/>
    <s v="اوسكار راتن"/>
    <x v="1"/>
    <n v="0"/>
    <s v="المخزن ابو الغيط "/>
    <x v="6"/>
    <x v="4"/>
    <x v="0"/>
    <s v="فردى"/>
    <s v="فورجينا"/>
    <n v="120"/>
    <x v="0"/>
    <m/>
    <n v="1"/>
    <m/>
    <n v="4020"/>
    <s v="حساب شركه"/>
    <d v="2024-09-29T00:00:00"/>
    <d v="2024-10-12T00:00:00"/>
    <d v="2024-10-12T00:00:00"/>
    <n v="13"/>
    <n v="13"/>
    <x v="32"/>
    <s v="تم التسليم محمود على "/>
    <x v="0"/>
  </r>
  <r>
    <m/>
    <m/>
    <s v="الحج محمد السويس"/>
    <x v="0"/>
    <n v="1"/>
    <s v="السويس "/>
    <x v="7"/>
    <x v="5"/>
    <x v="0"/>
    <s v="دورين"/>
    <s v="فانتاستك"/>
    <n v="100"/>
    <x v="9"/>
    <m/>
    <n v="1"/>
    <m/>
    <n v="8544.9054400000005"/>
    <s v="0"/>
    <d v="2024-10-01T00:00:00"/>
    <d v="2024-10-09T00:00:00"/>
    <d v="2024-10-09T00:00:00"/>
    <n v="8"/>
    <n v="8"/>
    <x v="32"/>
    <s v="تم التسليم بمعرفه الحج سيد "/>
    <x v="0"/>
  </r>
  <r>
    <m/>
    <m/>
    <s v="الحج محمد السويس"/>
    <x v="0"/>
    <n v="0"/>
    <s v="السويس "/>
    <x v="7"/>
    <x v="5"/>
    <x v="0"/>
    <s v="منطبق"/>
    <m/>
    <m/>
    <x v="10"/>
    <s v="بيج"/>
    <n v="1"/>
    <m/>
    <n v="4600"/>
    <s v="0"/>
    <d v="2024-10-01T00:00:00"/>
    <d v="2024-10-09T00:00:00"/>
    <d v="2024-10-09T00:00:00"/>
    <n v="8"/>
    <n v="8"/>
    <x v="32"/>
    <s v="تم التسليم بمعرفه الحج سيد "/>
    <x v="0"/>
  </r>
  <r>
    <m/>
    <m/>
    <s v="الحج محمد السويس"/>
    <x v="0"/>
    <n v="0"/>
    <s v="السويس "/>
    <x v="7"/>
    <x v="5"/>
    <x v="4"/>
    <s v="فنيسيا"/>
    <m/>
    <m/>
    <x v="1"/>
    <s v="رصاصي مشجر"/>
    <n v="1"/>
    <m/>
    <n v="10000"/>
    <s v="0"/>
    <d v="2024-10-01T00:00:00"/>
    <d v="2024-10-09T00:00:00"/>
    <d v="2024-10-09T00:00:00"/>
    <n v="8"/>
    <n v="8"/>
    <x v="32"/>
    <s v="تم التسليم بمعرفه الحج سيد "/>
    <x v="0"/>
  </r>
  <r>
    <m/>
    <m/>
    <s v="الحج محمد السويس"/>
    <x v="0"/>
    <n v="0"/>
    <s v="السويس "/>
    <x v="7"/>
    <x v="5"/>
    <x v="6"/>
    <m/>
    <m/>
    <m/>
    <x v="1"/>
    <s v="نبيتى "/>
    <n v="1"/>
    <m/>
    <n v="10000"/>
    <s v="0"/>
    <d v="2024-10-01T00:00:00"/>
    <d v="2024-10-09T00:00:00"/>
    <d v="2024-10-09T00:00:00"/>
    <n v="8"/>
    <n v="8"/>
    <x v="32"/>
    <s v="تم التسليم بمعرفه الحج سيد "/>
    <x v="0"/>
  </r>
  <r>
    <n v="1282228"/>
    <n v="1708226"/>
    <s v="عمرو الأسود"/>
    <x v="0"/>
    <n v="1"/>
    <s v="الزمالك"/>
    <x v="5"/>
    <x v="0"/>
    <x v="0"/>
    <s v="منطبق"/>
    <m/>
    <m/>
    <x v="1"/>
    <s v="اسود"/>
    <n v="1"/>
    <m/>
    <n v="8899"/>
    <s v="كاش"/>
    <d v="2024-10-03T00:00:00"/>
    <d v="2024-11-17T00:00:00"/>
    <m/>
    <n v="45"/>
    <m/>
    <x v="22"/>
    <m/>
    <x v="1"/>
  </r>
  <r>
    <n v="240079328"/>
    <m/>
    <s v="شيك هومز"/>
    <x v="1"/>
    <n v="0"/>
    <s v="مخزن شيك هومز"/>
    <x v="4"/>
    <x v="1"/>
    <x v="4"/>
    <s v="4×1"/>
    <m/>
    <m/>
    <x v="8"/>
    <s v="بترولى "/>
    <n v="1"/>
    <m/>
    <n v="14550"/>
    <s v="مسبق الدفع"/>
    <d v="2024-10-08T00:00:00"/>
    <d v="2024-10-29T00:00:00"/>
    <d v="2024-10-30T00:00:00"/>
    <n v="21"/>
    <n v="22"/>
    <x v="15"/>
    <s v="تم التسليم محمود على "/>
    <x v="0"/>
  </r>
  <r>
    <n v="240078933"/>
    <m/>
    <s v="شيك هومز"/>
    <x v="1"/>
    <n v="0"/>
    <s v="أكتوبر "/>
    <x v="0"/>
    <x v="1"/>
    <x v="4"/>
    <s v="4×1"/>
    <m/>
    <m/>
    <x v="8"/>
    <s v="بترولى "/>
    <n v="1"/>
    <m/>
    <n v="14550"/>
    <s v="مسبق الدفع"/>
    <d v="2024-10-07T00:00:00"/>
    <d v="2024-10-29T00:00:00"/>
    <d v="2024-10-15T00:00:00"/>
    <n v="22"/>
    <n v="8"/>
    <x v="11"/>
    <s v="تم التسليم محمود على "/>
    <x v="0"/>
  </r>
  <r>
    <n v="240079517"/>
    <m/>
    <s v="شيك هومز"/>
    <x v="1"/>
    <n v="0"/>
    <m/>
    <x v="4"/>
    <x v="1"/>
    <x v="4"/>
    <s v="4×1"/>
    <m/>
    <m/>
    <x v="8"/>
    <s v="نبيتى "/>
    <n v="1"/>
    <m/>
    <n v="14550"/>
    <s v="كاش"/>
    <d v="2024-10-10T00:00:00"/>
    <d v="2024-10-31T00:00:00"/>
    <d v="2024-11-02T00:00:00"/>
    <n v="21"/>
    <n v="23"/>
    <x v="4"/>
    <s v="تم التسليم محمود على "/>
    <x v="0"/>
  </r>
  <r>
    <n v="1714623"/>
    <n v="1284697"/>
    <s v="keira"/>
    <x v="0"/>
    <n v="1"/>
    <s v="القاهره الجديده "/>
    <x v="5"/>
    <x v="0"/>
    <x v="0"/>
    <s v="دورين"/>
    <s v="نوفال "/>
    <s v="١٤٠/١٠٠"/>
    <x v="11"/>
    <m/>
    <n v="1"/>
    <m/>
    <n v="12899"/>
    <s v="كاش"/>
    <d v="2024-10-13T00:00:00"/>
    <d v="2024-12-17T00:00:00"/>
    <d v="2024-11-02T00:00:00"/>
    <n v="65"/>
    <n v="20"/>
    <x v="22"/>
    <s v="تم التسليم محمود على "/>
    <x v="0"/>
  </r>
  <r>
    <n v="1715473"/>
    <n v="1285152"/>
    <s v="tarek"/>
    <x v="0"/>
    <n v="1"/>
    <s v="مصر الجديده"/>
    <x v="5"/>
    <x v="0"/>
    <x v="0"/>
    <s v="دورين"/>
    <s v="كيفنج"/>
    <n v="80"/>
    <x v="0"/>
    <m/>
    <n v="1"/>
    <m/>
    <n v="10499"/>
    <s v="مسبق الدفع"/>
    <d v="2024-10-16T00:00:00"/>
    <d v="2024-12-19T00:00:00"/>
    <d v="2024-10-21T00:00:00"/>
    <n v="64"/>
    <n v="5"/>
    <x v="33"/>
    <s v="تم التسليم محمود على "/>
    <x v="0"/>
  </r>
  <r>
    <n v="1715992"/>
    <n v="1285423"/>
    <s v="reem"/>
    <x v="0"/>
    <n v="1"/>
    <s v="البطاش اسكندريه"/>
    <x v="1"/>
    <x v="0"/>
    <x v="0"/>
    <s v="دورين"/>
    <s v="نوفال"/>
    <s v="١٠٠/١٤٠"/>
    <x v="11"/>
    <m/>
    <n v="1"/>
    <m/>
    <n v="12899"/>
    <s v="مسبق الدفع"/>
    <d v="2024-10-17T00:00:00"/>
    <d v="2024-12-22T00:00:00"/>
    <d v="2024-12-03T00:00:00"/>
    <n v="66"/>
    <n v="47"/>
    <x v="34"/>
    <s v="تم التسليم عن طريق شركه شحن "/>
    <x v="0"/>
  </r>
  <r>
    <s v="s03163"/>
    <m/>
    <s v="هشام سامى"/>
    <x v="0"/>
    <n v="1"/>
    <s v="41 كومبوند جولدن جستس الدور 4 شقه 4"/>
    <x v="5"/>
    <x v="6"/>
    <x v="0"/>
    <s v="فردى"/>
    <s v="بلحه"/>
    <n v="140"/>
    <x v="12"/>
    <s v="خشب بنى فاتح"/>
    <n v="1"/>
    <m/>
    <n v="5135"/>
    <s v="مسبق الدفع"/>
    <d v="2024-10-20T00:00:00"/>
    <d v="2024-11-17T00:00:00"/>
    <d v="2024-11-14T00:00:00"/>
    <n v="28"/>
    <n v="25"/>
    <x v="35"/>
    <s v="تم التسليم محمود على "/>
    <x v="0"/>
  </r>
  <r>
    <n v="240080607"/>
    <m/>
    <s v="شيك هومز"/>
    <x v="1"/>
    <n v="0"/>
    <s v="اكتوبر الجيزه"/>
    <x v="0"/>
    <x v="1"/>
    <x v="0"/>
    <s v="دورين"/>
    <s v="فانتستيك"/>
    <n v="100"/>
    <x v="13"/>
    <m/>
    <n v="1"/>
    <m/>
    <n v="12777.5"/>
    <s v="كاش"/>
    <d v="2024-10-22T00:00:00"/>
    <d v="2024-11-12T00:00:00"/>
    <d v="2024-11-18T00:00:00"/>
    <n v="21"/>
    <n v="27"/>
    <x v="16"/>
    <s v="تم التسليم محمود على "/>
    <x v="0"/>
  </r>
  <r>
    <n v="240080607"/>
    <m/>
    <s v="شيك هومز"/>
    <x v="1"/>
    <n v="0"/>
    <s v="اكتوبر الجيزه"/>
    <x v="0"/>
    <x v="1"/>
    <x v="0"/>
    <s v="دورين"/>
    <s v="فانتستيك"/>
    <n v="100"/>
    <x v="13"/>
    <m/>
    <n v="1"/>
    <m/>
    <n v="12777.5"/>
    <s v="كاش"/>
    <d v="2024-10-22T00:00:00"/>
    <d v="2024-11-12T00:00:00"/>
    <d v="2024-11-18T00:00:00"/>
    <n v="21"/>
    <n v="27"/>
    <x v="16"/>
    <s v="تم التسليم محمود على "/>
    <x v="0"/>
  </r>
  <r>
    <m/>
    <m/>
    <s v="اوسكار راتن"/>
    <x v="1"/>
    <n v="0"/>
    <s v="المعرض مدينه نصر"/>
    <x v="5"/>
    <x v="4"/>
    <x v="0"/>
    <s v="دورين"/>
    <s v="فانتستيك"/>
    <n v="100"/>
    <x v="13"/>
    <m/>
    <n v="1"/>
    <m/>
    <n v="8544.91"/>
    <s v="حساب شركه"/>
    <d v="2024-10-22T00:00:00"/>
    <m/>
    <m/>
    <n v="0"/>
    <m/>
    <x v="1"/>
    <m/>
    <x v="1"/>
  </r>
  <r>
    <n v="1717458"/>
    <n v="1286189"/>
    <s v="فاطمه محمد"/>
    <x v="0"/>
    <n v="1"/>
    <s v="أكتوبر الجيزه"/>
    <x v="0"/>
    <x v="0"/>
    <x v="0"/>
    <s v="فردى"/>
    <s v="فورجينا"/>
    <n v="120"/>
    <x v="0"/>
    <m/>
    <n v="1"/>
    <m/>
    <n v="8943"/>
    <s v="كاش"/>
    <d v="2024-10-21T00:00:00"/>
    <d v="2024-11-14T00:00:00"/>
    <d v="2024-11-18T00:00:00"/>
    <n v="24"/>
    <n v="28"/>
    <x v="14"/>
    <s v="تم التسليم محمود على "/>
    <x v="0"/>
  </r>
  <r>
    <n v="240080858"/>
    <m/>
    <s v="شيك هومز"/>
    <x v="1"/>
    <n v="0"/>
    <m/>
    <x v="4"/>
    <x v="1"/>
    <x v="4"/>
    <s v="4×1"/>
    <m/>
    <m/>
    <x v="1"/>
    <m/>
    <n v="1"/>
    <m/>
    <n v="15516"/>
    <s v="مسبق الدفع"/>
    <d v="2024-10-24T00:00:00"/>
    <d v="2024-11-14T00:00:00"/>
    <d v="2024-10-30T00:00:00"/>
    <n v="21"/>
    <n v="6"/>
    <x v="3"/>
    <s v="تم التسليم محمود على "/>
    <x v="0"/>
  </r>
  <r>
    <n v="240081061"/>
    <m/>
    <s v="شيك هومز"/>
    <x v="1"/>
    <n v="0"/>
    <m/>
    <x v="4"/>
    <x v="1"/>
    <x v="0"/>
    <s v="دورين"/>
    <s v="كينج"/>
    <n v="100"/>
    <x v="1"/>
    <m/>
    <n v="1"/>
    <m/>
    <n v="10045"/>
    <s v="كاش"/>
    <d v="2024-10-26T00:00:00"/>
    <d v="2024-11-16T00:00:00"/>
    <m/>
    <n v="21"/>
    <m/>
    <x v="36"/>
    <m/>
    <x v="1"/>
  </r>
  <r>
    <n v="1718948"/>
    <n v="1286883"/>
    <s v="ساره"/>
    <x v="0"/>
    <n v="0"/>
    <s v="الشيخ زايد اكتوبر"/>
    <x v="0"/>
    <x v="0"/>
    <x v="0"/>
    <s v="دورين"/>
    <s v="كينج"/>
    <n v="90"/>
    <x v="1"/>
    <m/>
    <n v="1"/>
    <m/>
    <n v="11649"/>
    <s v="كاش"/>
    <d v="2024-10-26T00:00:00"/>
    <d v="2024-11-10T00:00:00"/>
    <d v="2024-11-18T00:00:00"/>
    <n v="15"/>
    <n v="23"/>
    <x v="37"/>
    <s v="تم التسليم محمود على "/>
    <x v="0"/>
  </r>
  <r>
    <n v="1718949"/>
    <n v="1286883"/>
    <s v="ساره"/>
    <x v="0"/>
    <n v="0"/>
    <s v="الشيخ زايد اكتوبر"/>
    <x v="0"/>
    <x v="0"/>
    <x v="0"/>
    <s v="دورين"/>
    <s v="كينج"/>
    <n v="90"/>
    <x v="1"/>
    <m/>
    <n v="1"/>
    <m/>
    <n v="11649"/>
    <s v="كاش"/>
    <d v="2024-10-26T00:00:00"/>
    <d v="2024-11-10T00:00:00"/>
    <d v="2024-11-18T00:00:00"/>
    <n v="15"/>
    <n v="23"/>
    <x v="37"/>
    <s v="تم التسليم محمود على "/>
    <x v="0"/>
  </r>
  <r>
    <m/>
    <m/>
    <s v="هومزمارت"/>
    <x v="0"/>
    <n v="1"/>
    <s v="المعادى"/>
    <x v="5"/>
    <x v="0"/>
    <x v="0"/>
    <s v="فردى"/>
    <s v="اسبانى"/>
    <n v="100"/>
    <x v="0"/>
    <m/>
    <n v="1"/>
    <m/>
    <n v="5100"/>
    <s v="كاش"/>
    <d v="2024-10-28T00:00:00"/>
    <d v="2024-11-11T00:00:00"/>
    <d v="2024-11-21T00:00:00"/>
    <n v="14"/>
    <n v="24"/>
    <x v="38"/>
    <s v="تم التسليم محمود على "/>
    <x v="0"/>
  </r>
  <r>
    <m/>
    <m/>
    <s v="هومزمارت"/>
    <x v="0"/>
    <n v="0"/>
    <s v="المعادى"/>
    <x v="5"/>
    <x v="0"/>
    <x v="0"/>
    <s v="فردى"/>
    <s v="اسبانى"/>
    <n v="120"/>
    <x v="0"/>
    <m/>
    <n v="1"/>
    <m/>
    <n v="5300"/>
    <s v="كاش"/>
    <d v="2024-10-28T00:00:00"/>
    <d v="2024-11-11T00:00:00"/>
    <d v="2024-11-21T00:00:00"/>
    <n v="14"/>
    <n v="24"/>
    <x v="38"/>
    <s v="تم التسليم محمود على "/>
    <x v="0"/>
  </r>
  <r>
    <n v="1744766"/>
    <n v="1298738"/>
    <s v="محمد شكرى "/>
    <x v="0"/>
    <n v="1"/>
    <s v="مدينتى"/>
    <x v="5"/>
    <x v="0"/>
    <x v="0"/>
    <s v="دورين"/>
    <s v="كيفنج"/>
    <n v="80"/>
    <x v="0"/>
    <m/>
    <n v="1"/>
    <m/>
    <n v="12099"/>
    <s v="مسبق الدفع"/>
    <d v="2024-11-11T00:00:00"/>
    <d v="2024-11-26T00:00:00"/>
    <d v="2024-11-27T00:00:00"/>
    <n v="15"/>
    <n v="16"/>
    <x v="15"/>
    <s v="تم التسليم محمود على "/>
    <x v="0"/>
  </r>
  <r>
    <n v="240082226"/>
    <m/>
    <s v="شيك هومز"/>
    <x v="1"/>
    <n v="0"/>
    <s v="مخزن شيك هومز"/>
    <x v="4"/>
    <x v="1"/>
    <x v="4"/>
    <s v="4×1"/>
    <s v="ارينا"/>
    <m/>
    <x v="8"/>
    <s v="بترولى"/>
    <n v="1"/>
    <m/>
    <n v="15872"/>
    <s v="مسبق الدفع"/>
    <d v="2024-11-08T00:00:00"/>
    <d v="2024-12-03T00:00:00"/>
    <d v="2024-11-14T00:00:00"/>
    <n v="25"/>
    <n v="6"/>
    <x v="34"/>
    <s v="تم التسليم محمود على "/>
    <x v="0"/>
  </r>
  <r>
    <s v="so3290"/>
    <m/>
    <s v="منزلى"/>
    <x v="1"/>
    <n v="1"/>
    <s v="التجمع الخامس"/>
    <x v="5"/>
    <x v="6"/>
    <x v="0"/>
    <s v="فردى"/>
    <s v="فورجينا"/>
    <n v="120"/>
    <x v="0"/>
    <m/>
    <n v="1"/>
    <m/>
    <n v="4520"/>
    <s v="حساب شركه"/>
    <d v="2024-11-10T00:00:00"/>
    <d v="2024-11-22T00:00:00"/>
    <d v="2024-11-21T00:00:00"/>
    <n v="12"/>
    <n v="11"/>
    <x v="5"/>
    <s v="تم التسليم محمود على "/>
    <x v="0"/>
  </r>
  <r>
    <s v="s_6725"/>
    <m/>
    <s v="اوسكار راتن"/>
    <x v="1"/>
    <n v="0"/>
    <s v="المخزن ابو الغيط "/>
    <x v="6"/>
    <x v="4"/>
    <x v="0"/>
    <s v="دورين"/>
    <s v="كينج"/>
    <n v="90"/>
    <x v="1"/>
    <m/>
    <n v="1"/>
    <m/>
    <n v="5766"/>
    <s v="حساب شركه"/>
    <d v="2024-11-12T00:00:00"/>
    <d v="2024-11-26T00:00:00"/>
    <d v="2024-11-25T00:00:00"/>
    <n v="14"/>
    <n v="13"/>
    <x v="5"/>
    <s v="تم التسليم محمود على "/>
    <x v="0"/>
  </r>
  <r>
    <n v="1752544"/>
    <n v="1302011"/>
    <s v="حماده"/>
    <x v="0"/>
    <n v="1"/>
    <s v="المعادى"/>
    <x v="5"/>
    <x v="0"/>
    <x v="0"/>
    <s v="فردى"/>
    <s v="فورجينا"/>
    <n v="160"/>
    <x v="6"/>
    <m/>
    <n v="1"/>
    <m/>
    <n v="11395"/>
    <s v="مسبق الدفع"/>
    <d v="2024-11-12T00:00:00"/>
    <d v="2024-11-24T00:00:00"/>
    <d v="2024-11-27T00:00:00"/>
    <n v="12"/>
    <n v="15"/>
    <x v="18"/>
    <s v="تم التسليم محمود على "/>
    <x v="0"/>
  </r>
  <r>
    <n v="1755075"/>
    <n v="1303159"/>
    <s v="صفاء عبد الباقي"/>
    <x v="0"/>
    <n v="1"/>
    <s v="التجمع الخامس"/>
    <x v="5"/>
    <x v="0"/>
    <x v="0"/>
    <s v="دورين"/>
    <s v="كينج "/>
    <n v="80"/>
    <x v="0"/>
    <m/>
    <n v="1"/>
    <m/>
    <n v="12919"/>
    <s v="مسبق الدفع"/>
    <d v="2024-11-14T00:00:00"/>
    <d v="2024-11-30T00:00:00"/>
    <d v="2024-11-27T00:00:00"/>
    <n v="16"/>
    <n v="13"/>
    <x v="35"/>
    <s v="تم التسليم محمود على "/>
    <x v="0"/>
  </r>
  <r>
    <s v="s_6806"/>
    <m/>
    <s v="اوسكار راتن"/>
    <x v="1"/>
    <n v="0"/>
    <s v="المخزن ابو الغيط "/>
    <x v="6"/>
    <x v="4"/>
    <x v="7"/>
    <s v="دورين"/>
    <s v="نوفال"/>
    <n v="120"/>
    <x v="4"/>
    <m/>
    <n v="1"/>
    <m/>
    <n v="6376"/>
    <s v="حساب شركه"/>
    <d v="2024-11-14T00:00:00"/>
    <d v="2024-11-27T00:00:00"/>
    <d v="2024-11-25T00:00:00"/>
    <n v="13"/>
    <n v="11"/>
    <x v="39"/>
    <s v="تم التسليم محمود على "/>
    <x v="0"/>
  </r>
  <r>
    <s v="s-6626"/>
    <m/>
    <s v="اوسكار راتن"/>
    <x v="1"/>
    <n v="0"/>
    <s v="المخزن"/>
    <x v="4"/>
    <x v="4"/>
    <x v="0"/>
    <s v="دورين "/>
    <s v="نوفال"/>
    <n v="90"/>
    <x v="1"/>
    <m/>
    <n v="1"/>
    <m/>
    <n v="5294"/>
    <s v="حساب شركه"/>
    <d v="2024-11-14T00:00:00"/>
    <d v="2024-11-27T00:00:00"/>
    <d v="2024-11-25T00:00:00"/>
    <n v="13"/>
    <n v="11"/>
    <x v="39"/>
    <s v="تم التسليم محمود على "/>
    <x v="0"/>
  </r>
  <r>
    <n v="265453625"/>
    <m/>
    <s v="رندا العامرى "/>
    <x v="0"/>
    <n v="1"/>
    <s v="٦ اكتوبر الجيزه "/>
    <x v="0"/>
    <x v="7"/>
    <x v="7"/>
    <s v="دورين "/>
    <s v="كيفنج "/>
    <n v="80"/>
    <x v="0"/>
    <m/>
    <n v="1"/>
    <m/>
    <n v="7396"/>
    <s v="مسبق الدفع"/>
    <d v="2024-11-17T00:00:00"/>
    <d v="2024-11-28T00:00:00"/>
    <d v="2024-11-26T00:00:00"/>
    <n v="11"/>
    <n v="9"/>
    <x v="39"/>
    <s v="تم التسليم محمود على "/>
    <x v="0"/>
  </r>
  <r>
    <n v="1762617"/>
    <n v="1306879"/>
    <s v="ساره"/>
    <x v="0"/>
    <n v="0"/>
    <s v="٦ اكتوبر الجيزه"/>
    <x v="0"/>
    <x v="0"/>
    <x v="0"/>
    <s v="دورين"/>
    <s v="كينج"/>
    <n v="90"/>
    <x v="1"/>
    <m/>
    <n v="1"/>
    <m/>
    <n v="13439"/>
    <s v="كاش"/>
    <d v="2024-11-20T00:00:00"/>
    <d v="2024-12-05T00:00:00"/>
    <d v="2024-11-26T00:00:00"/>
    <n v="15"/>
    <n v="6"/>
    <x v="9"/>
    <s v="تم التسليم محمود على "/>
    <x v="0"/>
  </r>
  <r>
    <m/>
    <m/>
    <s v="تاكى"/>
    <x v="1"/>
    <n v="0"/>
    <s v="العباسيه "/>
    <x v="5"/>
    <x v="3"/>
    <x v="0"/>
    <s v="فردى "/>
    <s v="امريكى"/>
    <n v="160"/>
    <x v="1"/>
    <m/>
    <n v="1"/>
    <m/>
    <n v="5100"/>
    <s v="حساب شركه"/>
    <d v="2024-11-14T00:00:00"/>
    <d v="2024-12-08T00:00:00"/>
    <m/>
    <n v="24"/>
    <m/>
    <x v="40"/>
    <m/>
    <x v="1"/>
  </r>
  <r>
    <m/>
    <m/>
    <s v="محمد حمدى"/>
    <x v="0"/>
    <n v="1"/>
    <s v="مصر الجديده"/>
    <x v="5"/>
    <x v="2"/>
    <x v="7"/>
    <s v="فردى"/>
    <s v="كوين "/>
    <n v="160"/>
    <x v="5"/>
    <s v="ابيض"/>
    <n v="1"/>
    <m/>
    <n v="6000"/>
    <s v="كاش"/>
    <d v="2024-11-22T00:00:00"/>
    <d v="2024-12-02T00:00:00"/>
    <d v="2024-11-27T00:00:00"/>
    <n v="10"/>
    <n v="5"/>
    <x v="41"/>
    <s v="تم التسليم محمود على "/>
    <x v="0"/>
  </r>
  <r>
    <n v="1765451"/>
    <n v="1308241"/>
    <s v="بافلى هانى "/>
    <x v="0"/>
    <n v="1"/>
    <s v="شبرا "/>
    <x v="5"/>
    <x v="0"/>
    <x v="0"/>
    <s v="فردى "/>
    <s v="اسبانى "/>
    <n v="120"/>
    <x v="4"/>
    <m/>
    <n v="1"/>
    <m/>
    <n v="10885"/>
    <s v="كاش"/>
    <d v="2024-11-24T00:00:00"/>
    <d v="2024-12-05T00:00:00"/>
    <d v="2024-12-10T00:00:00"/>
    <n v="11"/>
    <n v="16"/>
    <x v="12"/>
    <s v="تم التسليم محمود على "/>
    <x v="0"/>
  </r>
  <r>
    <m/>
    <m/>
    <s v="تاكى"/>
    <x v="1"/>
    <n v="0"/>
    <s v="العباسيه "/>
    <x v="5"/>
    <x v="3"/>
    <x v="4"/>
    <s v="t1"/>
    <s v="t1"/>
    <m/>
    <x v="3"/>
    <m/>
    <n v="1"/>
    <m/>
    <n v="6000"/>
    <s v="كاش"/>
    <d v="2024-11-19T00:00:00"/>
    <d v="2024-12-05T00:00:00"/>
    <d v="2024-11-20T00:00:00"/>
    <n v="16"/>
    <n v="1"/>
    <x v="3"/>
    <s v="تم التسليم م محمد "/>
    <x v="0"/>
  </r>
  <r>
    <n v="1782674"/>
    <n v="1315860"/>
    <s v="رنا ميلاد"/>
    <x v="0"/>
    <n v="1"/>
    <s v="جليم الإسكندرية "/>
    <x v="1"/>
    <x v="0"/>
    <x v="1"/>
    <m/>
    <s v="مكتبه"/>
    <m/>
    <x v="3"/>
    <m/>
    <n v="1"/>
    <m/>
    <n v="8449"/>
    <s v="مسبق الدفع"/>
    <d v="2024-11-27T00:00:00"/>
    <d v="2024-12-10T00:00:00"/>
    <d v="2024-12-23T00:00:00"/>
    <n v="13"/>
    <n v="26"/>
    <x v="42"/>
    <s v="تم التسليم عن طريق شركه شحن "/>
    <x v="0"/>
  </r>
  <r>
    <n v="1781530"/>
    <n v="1315450"/>
    <s v="محمد ناجى"/>
    <x v="0"/>
    <n v="1"/>
    <s v="مدينه نصر "/>
    <x v="5"/>
    <x v="0"/>
    <x v="1"/>
    <s v="دوران "/>
    <s v="ميكانزم"/>
    <m/>
    <x v="0"/>
    <s v="ابيض في بنى غامق"/>
    <n v="1"/>
    <m/>
    <n v="10249"/>
    <s v="كاش"/>
    <d v="2024-11-27T00:00:00"/>
    <d v="2024-12-10T00:00:00"/>
    <d v="2024-12-19T00:00:00"/>
    <n v="13"/>
    <n v="22"/>
    <x v="10"/>
    <s v="تم التسليم محمود على "/>
    <x v="0"/>
  </r>
  <r>
    <n v="1795447"/>
    <n v="1321584"/>
    <s v="احمد عبد الستار"/>
    <x v="0"/>
    <n v="1"/>
    <s v="المندره اسكندريه"/>
    <x v="1"/>
    <x v="0"/>
    <x v="0"/>
    <s v="دورين"/>
    <s v="كيفنج"/>
    <n v="100"/>
    <x v="1"/>
    <m/>
    <n v="1"/>
    <m/>
    <n v="14905"/>
    <s v="مسبق الدفع"/>
    <d v="2024-11-29T00:00:00"/>
    <d v="2024-12-15T00:00:00"/>
    <m/>
    <n v="16"/>
    <m/>
    <x v="23"/>
    <s v="العميل رفض الاستلام"/>
    <x v="1"/>
  </r>
  <r>
    <n v="1808440"/>
    <n v="1327172"/>
    <s v="نور "/>
    <x v="0"/>
    <n v="1"/>
    <s v="القاهره الجديده"/>
    <x v="5"/>
    <x v="0"/>
    <x v="8"/>
    <s v="دوران "/>
    <s v="ميكانزم"/>
    <m/>
    <x v="8"/>
    <s v="بنى غامق"/>
    <n v="1"/>
    <m/>
    <n v="10249"/>
    <s v="مسبق الدفع"/>
    <d v="2024-11-30T00:00:00"/>
    <d v="2024-12-12T00:00:00"/>
    <m/>
    <n v="12"/>
    <m/>
    <x v="43"/>
    <m/>
    <x v="1"/>
  </r>
  <r>
    <n v="1808441"/>
    <n v="1327172"/>
    <s v="نور"/>
    <x v="0"/>
    <n v="1"/>
    <s v="القاهره الجديده"/>
    <x v="5"/>
    <x v="0"/>
    <x v="8"/>
    <s v="رف سحاب"/>
    <m/>
    <m/>
    <x v="1"/>
    <s v="بنى غامق "/>
    <n v="1"/>
    <m/>
    <n v="9029"/>
    <s v="مسبق الدفع"/>
    <d v="2024-11-30T00:00:00"/>
    <d v="2024-12-12T00:00:00"/>
    <m/>
    <n v="12"/>
    <m/>
    <x v="43"/>
    <m/>
    <x v="1"/>
  </r>
  <r>
    <n v="1805052"/>
    <n v="1325637"/>
    <s v="تامر"/>
    <x v="0"/>
    <n v="1"/>
    <s v="العين السخنه"/>
    <x v="7"/>
    <x v="0"/>
    <x v="1"/>
    <s v="٢ ميكانزم"/>
    <m/>
    <m/>
    <x v="8"/>
    <s v="بيج "/>
    <n v="1"/>
    <m/>
    <n v="9029"/>
    <s v="مسبق الدفع"/>
    <d v="2024-11-30T00:00:00"/>
    <d v="2024-12-12T00:00:00"/>
    <m/>
    <n v="12"/>
    <m/>
    <x v="43"/>
    <m/>
    <x v="1"/>
  </r>
  <r>
    <n v="1813823"/>
    <n v="1329646"/>
    <s v="هناء اسامه"/>
    <x v="0"/>
    <n v="1"/>
    <s v="القطاميه"/>
    <x v="5"/>
    <x v="0"/>
    <x v="0"/>
    <s v="دورين "/>
    <s v="نوفال"/>
    <n v="80"/>
    <x v="0"/>
    <m/>
    <n v="1"/>
    <m/>
    <n v="12099"/>
    <s v="مسبق الدفع"/>
    <d v="2024-12-02T00:00:00"/>
    <d v="2024-12-17T00:00:00"/>
    <m/>
    <n v="15"/>
    <m/>
    <x v="3"/>
    <m/>
    <x v="1"/>
  </r>
  <r>
    <s v="s_7152"/>
    <m/>
    <s v="اوسكار راتن"/>
    <x v="1"/>
    <n v="0"/>
    <s v="المخزن ابو الغيط "/>
    <x v="6"/>
    <x v="4"/>
    <x v="0"/>
    <s v="دورين "/>
    <s v="كيفنج "/>
    <n v="90"/>
    <x v="2"/>
    <m/>
    <n v="1"/>
    <m/>
    <n v="5217"/>
    <s v="حساب شركه"/>
    <d v="2024-12-01T00:00:00"/>
    <d v="2024-12-14T00:00:00"/>
    <d v="2024-12-10T00:00:00"/>
    <n v="13"/>
    <n v="9"/>
    <x v="44"/>
    <s v="تم التسليم محمود على "/>
    <x v="0"/>
  </r>
  <r>
    <n v="1810950"/>
    <n v="1328141"/>
    <s v="محمد عادل "/>
    <x v="0"/>
    <n v="1"/>
    <s v="العبور"/>
    <x v="6"/>
    <x v="0"/>
    <x v="7"/>
    <s v="منطبق"/>
    <m/>
    <m/>
    <x v="1"/>
    <s v="اسود"/>
    <n v="1"/>
    <m/>
    <n v="10249"/>
    <s v="كاش"/>
    <d v="2024-12-04T00:00:00"/>
    <d v="2024-12-14T00:00:00"/>
    <d v="2024-12-19T00:00:00"/>
    <n v="10"/>
    <n v="15"/>
    <x v="12"/>
    <s v="تم التسليم محمود على "/>
    <x v="0"/>
  </r>
  <r>
    <n v="240085463"/>
    <m/>
    <s v="مريم عنان"/>
    <x v="0"/>
    <n v="1"/>
    <s v="اب تاون كايرو التجمع "/>
    <x v="5"/>
    <x v="1"/>
    <x v="0"/>
    <s v="دورين"/>
    <s v="كينج"/>
    <m/>
    <x v="1"/>
    <m/>
    <n v="1"/>
    <m/>
    <n v="10445"/>
    <s v="كاش"/>
    <d v="2024-12-09T00:00:00"/>
    <d v="2024-12-31T00:00:00"/>
    <d v="2024-12-12T00:00:00"/>
    <n v="22"/>
    <n v="3"/>
    <x v="34"/>
    <s v="تم التسليم محمود على "/>
    <x v="0"/>
  </r>
  <r>
    <n v="1818591"/>
    <n v="1332300"/>
    <s v="هبه عطيه "/>
    <x v="0"/>
    <n v="1"/>
    <s v="القاهره الجديده"/>
    <x v="5"/>
    <x v="0"/>
    <x v="1"/>
    <s v="دوران"/>
    <s v="ميكانزم"/>
    <m/>
    <x v="8"/>
    <s v="بنى غامق"/>
    <n v="1"/>
    <m/>
    <n v="11199"/>
    <s v="كاش"/>
    <d v="2024-12-12T00:00:00"/>
    <d v="2024-12-24T00:00:00"/>
    <d v="2024-12-19T00:00:00"/>
    <n v="12"/>
    <n v="7"/>
    <x v="41"/>
    <s v="تم التسليم محمود على "/>
    <x v="0"/>
  </r>
  <r>
    <n v="1818396"/>
    <n v="1332179"/>
    <s v="حمدى ذكرى"/>
    <x v="0"/>
    <n v="1"/>
    <s v="٦ اكتوبر الجيزه"/>
    <x v="0"/>
    <x v="0"/>
    <x v="7"/>
    <s v="دورين"/>
    <s v="نوفال"/>
    <n v="80"/>
    <x v="1"/>
    <m/>
    <n v="1"/>
    <m/>
    <n v="13099"/>
    <s v="كاش"/>
    <d v="2024-12-12T00:00:00"/>
    <d v="2024-12-28T00:00:00"/>
    <d v="2024-12-29T00:00:00"/>
    <n v="16"/>
    <n v="17"/>
    <x v="15"/>
    <s v="تم التسليم محمود على "/>
    <x v="0"/>
  </r>
  <r>
    <n v="240085758"/>
    <m/>
    <s v="شيك هومز"/>
    <x v="1"/>
    <n v="0"/>
    <s v="مخزن شيك هومز"/>
    <x v="4"/>
    <x v="1"/>
    <x v="4"/>
    <s v="4×1"/>
    <s v="ارينا"/>
    <m/>
    <x v="8"/>
    <s v="روك ١٠"/>
    <n v="1"/>
    <m/>
    <n v="8700"/>
    <s v="حساب شركه"/>
    <d v="2024-12-14T00:00:00"/>
    <d v="2025-01-05T00:00:00"/>
    <d v="2024-12-29T00:00:00"/>
    <n v="22"/>
    <n v="15"/>
    <x v="45"/>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6F7D2E-4FFA-413A-B951-A6EE3F8AEE54}"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I6:AJ9" firstHeaderRow="1" firstDataRow="1" firstDataCol="1"/>
  <pivotFields count="26">
    <pivotField showAll="0"/>
    <pivotField showAll="0"/>
    <pivotField showAll="0"/>
    <pivotField axis="axisRow" showAll="0">
      <items count="3">
        <item x="0"/>
        <item x="1"/>
        <item t="default"/>
      </items>
    </pivotField>
    <pivotField dataField="1" showAll="0"/>
    <pivotField showAll="0"/>
    <pivotField showAll="0">
      <items count="11">
        <item x="8"/>
        <item x="1"/>
        <item x="3"/>
        <item x="0"/>
        <item x="7"/>
        <item x="5"/>
        <item m="1" x="9"/>
        <item x="6"/>
        <item x="2"/>
        <item x="4"/>
        <item t="default"/>
      </items>
    </pivotField>
    <pivotField showAll="0">
      <items count="13">
        <item x="5"/>
        <item x="4"/>
        <item x="3"/>
        <item m="1" x="10"/>
        <item x="1"/>
        <item m="1" x="9"/>
        <item x="2"/>
        <item x="7"/>
        <item x="6"/>
        <item m="1" x="8"/>
        <item x="0"/>
        <item m="1" x="11"/>
        <item t="default"/>
      </items>
    </pivotField>
    <pivotField showAll="0">
      <items count="10">
        <item x="1"/>
        <item x="8"/>
        <item x="3"/>
        <item x="0"/>
        <item x="7"/>
        <item x="6"/>
        <item x="5"/>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m="1" x="4"/>
        <item x="2"/>
        <item x="1"/>
        <item m="1" x="3"/>
        <item t="default"/>
      </items>
    </pivotField>
  </pivotFields>
  <rowFields count="1">
    <field x="3"/>
  </rowFields>
  <rowItems count="3">
    <i>
      <x/>
    </i>
    <i>
      <x v="1"/>
    </i>
    <i t="grand">
      <x/>
    </i>
  </rowItems>
  <colItems count="1">
    <i/>
  </colItems>
  <dataFields count="1">
    <dataField name="Sum of عدم التكرار" fld="4" baseField="0" baseItem="0"/>
  </dataFields>
  <formats count="1">
    <format dxfId="34">
      <pivotArea outline="0" collapsedLevelsAreSubtotals="1" fieldPosition="0"/>
    </format>
  </format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BD235-27DD-4E87-A43D-E4CBD0606B73}"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6:X53" firstHeaderRow="1" firstDataRow="1" firstDataCol="1"/>
  <pivotFields count="26">
    <pivotField showAll="0"/>
    <pivotField showAll="0"/>
    <pivotField showAll="0"/>
    <pivotField showAll="0">
      <items count="3">
        <item x="0"/>
        <item x="1"/>
        <item t="default"/>
      </items>
    </pivotField>
    <pivotField showAll="0"/>
    <pivotField showAll="0"/>
    <pivotField showAll="0">
      <items count="11">
        <item x="8"/>
        <item x="1"/>
        <item x="3"/>
        <item x="0"/>
        <item x="7"/>
        <item x="5"/>
        <item m="1" x="9"/>
        <item x="6"/>
        <item x="2"/>
        <item x="4"/>
        <item t="default"/>
      </items>
    </pivotField>
    <pivotField showAll="0">
      <items count="13">
        <item x="5"/>
        <item x="4"/>
        <item x="3"/>
        <item m="1" x="10"/>
        <item x="1"/>
        <item m="1" x="9"/>
        <item x="2"/>
        <item x="7"/>
        <item x="6"/>
        <item m="1" x="8"/>
        <item x="0"/>
        <item m="1" x="11"/>
        <item t="default"/>
      </items>
    </pivotField>
    <pivotField showAll="0">
      <items count="10">
        <item x="1"/>
        <item x="8"/>
        <item x="3"/>
        <item x="0"/>
        <item x="7"/>
        <item x="6"/>
        <item x="5"/>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7">
        <item x="25"/>
        <item x="33"/>
        <item x="26"/>
        <item x="22"/>
        <item x="13"/>
        <item x="27"/>
        <item x="28"/>
        <item x="24"/>
        <item x="29"/>
        <item x="30"/>
        <item x="40"/>
        <item x="36"/>
        <item x="34"/>
        <item x="31"/>
        <item x="17"/>
        <item x="23"/>
        <item x="3"/>
        <item x="11"/>
        <item x="43"/>
        <item x="2"/>
        <item x="21"/>
        <item x="9"/>
        <item x="8"/>
        <item x="45"/>
        <item x="41"/>
        <item x="44"/>
        <item x="35"/>
        <item x="39"/>
        <item x="5"/>
        <item x="32"/>
        <item x="15"/>
        <item x="4"/>
        <item x="18"/>
        <item x="14"/>
        <item x="12"/>
        <item x="16"/>
        <item x="6"/>
        <item x="37"/>
        <item x="10"/>
        <item x="38"/>
        <item x="42"/>
        <item x="0"/>
        <item x="20"/>
        <item x="7"/>
        <item x="19"/>
        <item x="1"/>
        <item t="default"/>
      </items>
    </pivotField>
    <pivotField showAll="0"/>
    <pivotField showAll="0">
      <items count="6">
        <item x="0"/>
        <item m="1" x="4"/>
        <item x="2"/>
        <item x="1"/>
        <item m="1" x="3"/>
        <item t="default"/>
      </items>
    </pivotField>
  </pivotFields>
  <rowFields count="1">
    <field x="23"/>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Count of Ontime Delivery" fld="23" subtotal="count" showDataAs="percentOfTotal" baseField="22" baseItem="3" numFmtId="10"/>
  </dataFields>
  <formats count="4">
    <format dxfId="38">
      <pivotArea outline="0" collapsedLevelsAreSubtotals="1" fieldPosition="0"/>
    </format>
    <format dxfId="37">
      <pivotArea outline="0" fieldPosition="0">
        <references count="1">
          <reference field="4294967294" count="1">
            <x v="0"/>
          </reference>
        </references>
      </pivotArea>
    </format>
    <format dxfId="36">
      <pivotArea dataOnly="0" fieldPosition="0">
        <references count="1">
          <reference field="23" count="1">
            <x v="29"/>
          </reference>
        </references>
      </pivotArea>
    </format>
    <format dxfId="35">
      <pivotArea collapsedLevelsAreSubtotals="1" fieldPosition="0">
        <references count="1">
          <reference field="23" count="0"/>
        </references>
      </pivotArea>
    </format>
  </formats>
  <chartFormats count="1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0"/>
          </reference>
        </references>
      </pivotArea>
    </chartFormat>
    <chartFormat chart="2" format="4">
      <pivotArea type="data" outline="0" fieldPosition="0">
        <references count="2">
          <reference field="4294967294" count="1" selected="0">
            <x v="0"/>
          </reference>
          <reference field="23" count="1" selected="0">
            <x v="1"/>
          </reference>
        </references>
      </pivotArea>
    </chartFormat>
    <chartFormat chart="2" format="5">
      <pivotArea type="data" outline="0" fieldPosition="0">
        <references count="2">
          <reference field="4294967294" count="1" selected="0">
            <x v="0"/>
          </reference>
          <reference field="23" count="1" selected="0">
            <x v="2"/>
          </reference>
        </references>
      </pivotArea>
    </chartFormat>
    <chartFormat chart="2" format="6">
      <pivotArea type="data" outline="0" fieldPosition="0">
        <references count="2">
          <reference field="4294967294" count="1" selected="0">
            <x v="0"/>
          </reference>
          <reference field="23" count="1" selected="0">
            <x v="4"/>
          </reference>
        </references>
      </pivotArea>
    </chartFormat>
    <chartFormat chart="2" format="7">
      <pivotArea type="data" outline="0" fieldPosition="0">
        <references count="2">
          <reference field="4294967294" count="1" selected="0">
            <x v="0"/>
          </reference>
          <reference field="23" count="1" selected="0">
            <x v="5"/>
          </reference>
        </references>
      </pivotArea>
    </chartFormat>
    <chartFormat chart="2" format="8">
      <pivotArea type="data" outline="0" fieldPosition="0">
        <references count="2">
          <reference field="4294967294" count="1" selected="0">
            <x v="0"/>
          </reference>
          <reference field="23" count="1" selected="0">
            <x v="8"/>
          </reference>
        </references>
      </pivotArea>
    </chartFormat>
    <chartFormat chart="2" format="9">
      <pivotArea type="data" outline="0" fieldPosition="0">
        <references count="2">
          <reference field="4294967294" count="1" selected="0">
            <x v="0"/>
          </reference>
          <reference field="23" count="1" selected="0">
            <x v="7"/>
          </reference>
        </references>
      </pivotArea>
    </chartFormat>
    <chartFormat chart="2" format="10">
      <pivotArea type="data" outline="0" fieldPosition="0">
        <references count="2">
          <reference field="4294967294" count="1" selected="0">
            <x v="0"/>
          </reference>
          <reference field="23" count="1" selected="0">
            <x v="9"/>
          </reference>
        </references>
      </pivotArea>
    </chartFormat>
    <chartFormat chart="2" format="11">
      <pivotArea type="data" outline="0" fieldPosition="0">
        <references count="2">
          <reference field="4294967294" count="1" selected="0">
            <x v="0"/>
          </reference>
          <reference field="23" count="1" selected="0">
            <x v="10"/>
          </reference>
        </references>
      </pivotArea>
    </chartFormat>
    <chartFormat chart="2" format="12">
      <pivotArea type="data" outline="0" fieldPosition="0">
        <references count="2">
          <reference field="4294967294" count="1" selected="0">
            <x v="0"/>
          </reference>
          <reference field="23" count="1" selected="0">
            <x v="11"/>
          </reference>
        </references>
      </pivotArea>
    </chartFormat>
    <chartFormat chart="2" format="13">
      <pivotArea type="data" outline="0" fieldPosition="0">
        <references count="2">
          <reference field="4294967294" count="1" selected="0">
            <x v="0"/>
          </reference>
          <reference field="23" count="1" selected="0">
            <x v="20"/>
          </reference>
        </references>
      </pivotArea>
    </chartFormat>
    <chartFormat chart="2" format="14">
      <pivotArea type="data" outline="0" fieldPosition="0">
        <references count="2">
          <reference field="4294967294" count="1" selected="0">
            <x v="0"/>
          </reference>
          <reference field="23" count="1" selected="0">
            <x v="22"/>
          </reference>
        </references>
      </pivotArea>
    </chartFormat>
    <chartFormat chart="2" format="15">
      <pivotArea type="data" outline="0" fieldPosition="0">
        <references count="2">
          <reference field="4294967294" count="1" selected="0">
            <x v="0"/>
          </reference>
          <reference field="23" count="1" selected="0">
            <x v="43"/>
          </reference>
        </references>
      </pivotArea>
    </chartFormat>
    <chartFormat chart="2" format="16">
      <pivotArea type="data" outline="0" fieldPosition="0">
        <references count="2">
          <reference field="4294967294" count="1" selected="0">
            <x v="0"/>
          </reference>
          <reference field="23" count="1" selected="0">
            <x v="42"/>
          </reference>
        </references>
      </pivotArea>
    </chartFormat>
    <chartFormat chart="2" format="17">
      <pivotArea type="data" outline="0" fieldPosition="0">
        <references count="2">
          <reference field="4294967294" count="1" selected="0">
            <x v="0"/>
          </reference>
          <reference field="23" count="1" selected="0">
            <x v="41"/>
          </reference>
        </references>
      </pivotArea>
    </chartFormat>
    <chartFormat chart="2" format="18">
      <pivotArea type="data" outline="0" fieldPosition="0">
        <references count="2">
          <reference field="4294967294" count="1" selected="0">
            <x v="0"/>
          </reference>
          <reference field="23"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053A7C-AB85-4640-95B2-056C11208F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26">
    <pivotField showAll="0"/>
    <pivotField showAll="0"/>
    <pivotField showAll="0"/>
    <pivotField showAll="0">
      <items count="3">
        <item x="0"/>
        <item x="1"/>
        <item t="default"/>
      </items>
    </pivotField>
    <pivotField showAll="0"/>
    <pivotField showAll="0"/>
    <pivotField showAll="0">
      <items count="11">
        <item x="8"/>
        <item x="1"/>
        <item x="3"/>
        <item x="0"/>
        <item x="7"/>
        <item x="5"/>
        <item m="1" x="9"/>
        <item x="6"/>
        <item x="2"/>
        <item x="4"/>
        <item t="default"/>
      </items>
    </pivotField>
    <pivotField showAll="0">
      <items count="13">
        <item x="5"/>
        <item x="4"/>
        <item x="3"/>
        <item m="1" x="10"/>
        <item x="1"/>
        <item m="1" x="9"/>
        <item x="2"/>
        <item x="7"/>
        <item x="6"/>
        <item m="1" x="8"/>
        <item x="0"/>
        <item m="1" x="11"/>
        <item t="default"/>
      </items>
    </pivotField>
    <pivotField showAll="0">
      <items count="10">
        <item x="1"/>
        <item x="8"/>
        <item x="3"/>
        <item x="0"/>
        <item x="7"/>
        <item x="6"/>
        <item x="5"/>
        <item x="4"/>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0"/>
        <item m="1" x="4"/>
        <item x="2"/>
        <item x="1"/>
        <item m="1" x="3"/>
        <item t="default"/>
      </items>
    </pivotField>
  </pivotFields>
  <rowItems count="1">
    <i/>
  </rowItems>
  <colItems count="1">
    <i/>
  </colItems>
  <dataFields count="1">
    <dataField name="Sum of كمية" fld="14"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4C0499-2DCA-4ED6-82DB-3637FD5D85E4}"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E6:AF16" firstHeaderRow="1" firstDataRow="1" firstDataCol="1"/>
  <pivotFields count="26">
    <pivotField showAll="0"/>
    <pivotField showAll="0"/>
    <pivotField showAll="0"/>
    <pivotField showAll="0">
      <items count="3">
        <item x="0"/>
        <item x="1"/>
        <item t="default"/>
      </items>
    </pivotField>
    <pivotField showAll="0"/>
    <pivotField showAll="0"/>
    <pivotField axis="axisRow" dataField="1" showAll="0" sortType="descending">
      <items count="11">
        <item x="8"/>
        <item x="1"/>
        <item x="3"/>
        <item x="0"/>
        <item x="7"/>
        <item x="5"/>
        <item m="1" x="9"/>
        <item x="6"/>
        <item x="2"/>
        <item x="4"/>
        <item t="default"/>
      </items>
      <autoSortScope>
        <pivotArea dataOnly="0" outline="0" fieldPosition="0">
          <references count="1">
            <reference field="4294967294" count="1" selected="0">
              <x v="0"/>
            </reference>
          </references>
        </pivotArea>
      </autoSortScope>
    </pivotField>
    <pivotField showAll="0">
      <items count="13">
        <item x="5"/>
        <item x="4"/>
        <item x="3"/>
        <item m="1" x="10"/>
        <item x="1"/>
        <item m="1" x="9"/>
        <item x="2"/>
        <item x="7"/>
        <item x="6"/>
        <item m="1" x="8"/>
        <item x="0"/>
        <item m="1" x="11"/>
        <item t="default"/>
      </items>
    </pivotField>
    <pivotField showAll="0">
      <items count="10">
        <item x="1"/>
        <item x="8"/>
        <item x="3"/>
        <item x="0"/>
        <item x="7"/>
        <item x="6"/>
        <item x="5"/>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m="1" x="4"/>
        <item x="2"/>
        <item x="1"/>
        <item m="1" x="3"/>
        <item t="default"/>
      </items>
    </pivotField>
  </pivotFields>
  <rowFields count="1">
    <field x="6"/>
  </rowFields>
  <rowItems count="10">
    <i>
      <x v="5"/>
    </i>
    <i>
      <x v="3"/>
    </i>
    <i>
      <x v="7"/>
    </i>
    <i>
      <x v="4"/>
    </i>
    <i>
      <x v="1"/>
    </i>
    <i>
      <x v="2"/>
    </i>
    <i>
      <x v="8"/>
    </i>
    <i>
      <x/>
    </i>
    <i>
      <x v="9"/>
    </i>
    <i t="grand">
      <x/>
    </i>
  </rowItems>
  <colItems count="1">
    <i/>
  </colItems>
  <dataFields count="1">
    <dataField name="Count of المحافظة" fld="6" subtotal="count" baseField="0" baseItem="0"/>
  </dataFields>
  <formats count="1">
    <format dxfId="4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3FD8D2-B433-41A6-9E2B-0B4FB08DE8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26">
    <pivotField showAll="0"/>
    <pivotField showAll="0"/>
    <pivotField showAll="0"/>
    <pivotField showAll="0">
      <items count="3">
        <item x="0"/>
        <item x="1"/>
        <item t="default"/>
      </items>
    </pivotField>
    <pivotField showAll="0"/>
    <pivotField showAll="0"/>
    <pivotField showAll="0">
      <items count="11">
        <item x="8"/>
        <item x="1"/>
        <item x="3"/>
        <item x="0"/>
        <item x="7"/>
        <item x="5"/>
        <item m="1" x="9"/>
        <item x="6"/>
        <item x="2"/>
        <item x="4"/>
        <item t="default"/>
      </items>
    </pivotField>
    <pivotField showAll="0">
      <items count="13">
        <item x="5"/>
        <item x="4"/>
        <item x="3"/>
        <item m="1" x="10"/>
        <item x="1"/>
        <item m="1" x="9"/>
        <item x="2"/>
        <item x="7"/>
        <item x="6"/>
        <item m="1" x="8"/>
        <item x="0"/>
        <item m="1" x="11"/>
        <item t="default"/>
      </items>
    </pivotField>
    <pivotField showAll="0">
      <items count="10">
        <item x="1"/>
        <item x="8"/>
        <item x="3"/>
        <item x="0"/>
        <item x="7"/>
        <item x="6"/>
        <item x="5"/>
        <item x="4"/>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6">
        <item x="0"/>
        <item m="1" x="4"/>
        <item x="2"/>
        <item x="1"/>
        <item m="1" x="3"/>
        <item t="default"/>
      </items>
    </pivotField>
  </pivotFields>
  <rowItems count="1">
    <i/>
  </rowItems>
  <colItems count="1">
    <i/>
  </colItems>
  <dataFields count="1">
    <dataField name="Average of سعر البيع " fld="16" subtotal="average" baseField="0" baseItem="0"/>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4211B4-8162-4DD2-BBCD-2629B0809C4B}"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6:T21" firstHeaderRow="1" firstDataRow="1" firstDataCol="1"/>
  <pivotFields count="26">
    <pivotField showAll="0"/>
    <pivotField showAll="0"/>
    <pivotField showAll="0"/>
    <pivotField showAll="0">
      <items count="3">
        <item x="0"/>
        <item x="1"/>
        <item t="default"/>
      </items>
    </pivotField>
    <pivotField showAll="0"/>
    <pivotField showAll="0"/>
    <pivotField showAll="0">
      <items count="11">
        <item x="8"/>
        <item x="1"/>
        <item x="3"/>
        <item x="0"/>
        <item x="7"/>
        <item x="5"/>
        <item m="1" x="9"/>
        <item x="6"/>
        <item x="2"/>
        <item x="4"/>
        <item t="default"/>
      </items>
    </pivotField>
    <pivotField showAll="0">
      <items count="13">
        <item x="5"/>
        <item x="4"/>
        <item x="3"/>
        <item m="1" x="10"/>
        <item x="1"/>
        <item m="1" x="9"/>
        <item x="2"/>
        <item x="7"/>
        <item x="6"/>
        <item m="1" x="8"/>
        <item x="0"/>
        <item m="1" x="11"/>
        <item t="default"/>
      </items>
    </pivotField>
    <pivotField showAll="0">
      <items count="10">
        <item x="1"/>
        <item x="8"/>
        <item x="3"/>
        <item x="0"/>
        <item x="7"/>
        <item x="6"/>
        <item x="5"/>
        <item x="4"/>
        <item x="2"/>
        <item t="default"/>
      </items>
    </pivotField>
    <pivotField showAll="0"/>
    <pivotField showAll="0"/>
    <pivotField showAll="0"/>
    <pivotField axis="axisRow" dataField="1" showAll="0">
      <items count="15">
        <item x="0"/>
        <item x="2"/>
        <item x="10"/>
        <item x="1"/>
        <item x="8"/>
        <item x="7"/>
        <item x="13"/>
        <item x="6"/>
        <item x="11"/>
        <item x="5"/>
        <item x="4"/>
        <item x="9"/>
        <item x="1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m="1" x="4"/>
        <item x="2"/>
        <item x="1"/>
        <item m="1" x="3"/>
        <item t="default"/>
      </items>
    </pivotField>
  </pivotFields>
  <rowFields count="1">
    <field x="12"/>
  </rowFields>
  <rowItems count="15">
    <i>
      <x/>
    </i>
    <i>
      <x v="1"/>
    </i>
    <i>
      <x v="2"/>
    </i>
    <i>
      <x v="3"/>
    </i>
    <i>
      <x v="4"/>
    </i>
    <i>
      <x v="5"/>
    </i>
    <i>
      <x v="6"/>
    </i>
    <i>
      <x v="7"/>
    </i>
    <i>
      <x v="8"/>
    </i>
    <i>
      <x v="9"/>
    </i>
    <i>
      <x v="10"/>
    </i>
    <i>
      <x v="11"/>
    </i>
    <i>
      <x v="12"/>
    </i>
    <i>
      <x v="13"/>
    </i>
    <i t="grand">
      <x/>
    </i>
  </rowItems>
  <colItems count="1">
    <i/>
  </colItems>
  <dataFields count="1">
    <dataField name="Count of اللون المعدن" fld="12" subtotal="count" baseField="0" baseItem="0"/>
  </dataFields>
  <formats count="1">
    <format dxfId="42">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3C5FC8-381B-4599-8B15-5E2B7B6CC6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6">
    <pivotField showAll="0"/>
    <pivotField showAll="0"/>
    <pivotField showAll="0"/>
    <pivotField showAll="0">
      <items count="3">
        <item x="0"/>
        <item x="1"/>
        <item t="default"/>
      </items>
    </pivotField>
    <pivotField showAll="0"/>
    <pivotField showAll="0"/>
    <pivotField showAll="0">
      <items count="11">
        <item x="8"/>
        <item x="1"/>
        <item x="3"/>
        <item x="0"/>
        <item x="7"/>
        <item x="5"/>
        <item m="1" x="9"/>
        <item x="6"/>
        <item x="2"/>
        <item x="4"/>
        <item t="default"/>
      </items>
    </pivotField>
    <pivotField showAll="0">
      <items count="13">
        <item x="5"/>
        <item x="4"/>
        <item x="3"/>
        <item m="1" x="10"/>
        <item x="1"/>
        <item m="1" x="9"/>
        <item x="2"/>
        <item x="7"/>
        <item x="6"/>
        <item m="1" x="8"/>
        <item x="0"/>
        <item m="1" x="11"/>
        <item t="default"/>
      </items>
    </pivotField>
    <pivotField showAll="0">
      <items count="10">
        <item x="1"/>
        <item x="8"/>
        <item x="3"/>
        <item x="0"/>
        <item x="7"/>
        <item x="6"/>
        <item x="5"/>
        <item x="4"/>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6">
        <item x="0"/>
        <item m="1" x="4"/>
        <item x="2"/>
        <item x="1"/>
        <item m="1" x="3"/>
        <item t="default"/>
      </items>
    </pivotField>
  </pivotFields>
  <rowItems count="1">
    <i/>
  </rowItems>
  <colItems count="1">
    <i/>
  </colItems>
  <dataFields count="1">
    <dataField name="Sum of سعر البيع " fld="16" baseField="0" baseItem="0" numFmtId="164"/>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48B360-D4B5-4993-940F-072DEA7EB8D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6:P16" firstHeaderRow="1" firstDataRow="1" firstDataCol="1"/>
  <pivotFields count="26">
    <pivotField showAll="0"/>
    <pivotField showAll="0"/>
    <pivotField showAll="0"/>
    <pivotField showAll="0">
      <items count="3">
        <item x="0"/>
        <item x="1"/>
        <item t="default"/>
      </items>
    </pivotField>
    <pivotField showAll="0"/>
    <pivotField showAll="0"/>
    <pivotField showAll="0">
      <items count="11">
        <item x="8"/>
        <item x="1"/>
        <item x="3"/>
        <item x="0"/>
        <item x="7"/>
        <item x="5"/>
        <item m="1" x="9"/>
        <item x="6"/>
        <item x="2"/>
        <item x="4"/>
        <item t="default"/>
      </items>
    </pivotField>
    <pivotField showAll="0">
      <items count="13">
        <item x="5"/>
        <item x="4"/>
        <item x="3"/>
        <item m="1" x="10"/>
        <item x="1"/>
        <item m="1" x="9"/>
        <item x="2"/>
        <item x="7"/>
        <item x="6"/>
        <item m="1" x="8"/>
        <item x="0"/>
        <item m="1" x="11"/>
        <item t="default"/>
      </items>
    </pivotField>
    <pivotField axis="axisRow" dataField="1" showAll="0" sortType="descending">
      <items count="10">
        <item x="1"/>
        <item x="8"/>
        <item x="3"/>
        <item x="0"/>
        <item x="7"/>
        <item x="6"/>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m="1" x="4"/>
        <item x="2"/>
        <item x="1"/>
        <item m="1" x="3"/>
        <item t="default"/>
      </items>
    </pivotField>
  </pivotFields>
  <rowFields count="1">
    <field x="8"/>
  </rowFields>
  <rowItems count="10">
    <i>
      <x v="3"/>
    </i>
    <i>
      <x v="7"/>
    </i>
    <i>
      <x/>
    </i>
    <i>
      <x v="4"/>
    </i>
    <i>
      <x v="1"/>
    </i>
    <i>
      <x v="8"/>
    </i>
    <i>
      <x v="2"/>
    </i>
    <i>
      <x v="5"/>
    </i>
    <i>
      <x v="6"/>
    </i>
    <i t="grand">
      <x/>
    </i>
  </rowItems>
  <colItems count="1">
    <i/>
  </colItems>
  <dataFields count="1">
    <dataField name="Count of المنتج" fld="8" subtotal="count" baseField="0" baseItem="0"/>
  </dataFields>
  <formats count="1">
    <format dxfId="4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D0625B-5488-4F05-AD49-1384193E7456}"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A6:AB10" firstHeaderRow="1" firstDataRow="1" firstDataCol="1"/>
  <pivotFields count="26">
    <pivotField showAll="0"/>
    <pivotField showAll="0"/>
    <pivotField showAll="0"/>
    <pivotField showAll="0">
      <items count="3">
        <item x="0"/>
        <item x="1"/>
        <item t="default"/>
      </items>
    </pivotField>
    <pivotField showAll="0"/>
    <pivotField showAll="0"/>
    <pivotField showAll="0">
      <items count="11">
        <item x="8"/>
        <item x="1"/>
        <item x="3"/>
        <item x="0"/>
        <item x="7"/>
        <item x="5"/>
        <item m="1" x="9"/>
        <item x="6"/>
        <item x="2"/>
        <item x="4"/>
        <item t="default"/>
      </items>
    </pivotField>
    <pivotField showAll="0">
      <items count="13">
        <item x="5"/>
        <item x="4"/>
        <item x="3"/>
        <item m="1" x="10"/>
        <item x="1"/>
        <item m="1" x="9"/>
        <item x="2"/>
        <item x="7"/>
        <item x="6"/>
        <item m="1" x="8"/>
        <item x="0"/>
        <item m="1" x="11"/>
        <item t="default"/>
      </items>
    </pivotField>
    <pivotField showAll="0">
      <items count="10">
        <item x="1"/>
        <item x="8"/>
        <item x="3"/>
        <item x="0"/>
        <item x="7"/>
        <item x="6"/>
        <item x="5"/>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0"/>
        <item m="1" x="4"/>
        <item x="2"/>
        <item m="1" x="3"/>
        <item x="1"/>
        <item t="default"/>
      </items>
    </pivotField>
  </pivotFields>
  <rowFields count="1">
    <field x="25"/>
  </rowFields>
  <rowItems count="4">
    <i>
      <x/>
    </i>
    <i>
      <x v="2"/>
    </i>
    <i>
      <x v="4"/>
    </i>
    <i t="grand">
      <x/>
    </i>
  </rowItems>
  <colItems count="1">
    <i/>
  </colItems>
  <dataFields count="1">
    <dataField name="Count of الحالة" fld="25" subtotal="count" showDataAs="percentOfTotal" baseField="24" baseItem="0" numFmtId="10"/>
  </dataFields>
  <formats count="5">
    <format dxfId="49">
      <pivotArea outline="0" collapsedLevelsAreSubtotals="1" fieldPosition="0"/>
    </format>
    <format dxfId="48">
      <pivotArea outline="0" fieldPosition="0">
        <references count="1">
          <reference field="4294967294" count="1">
            <x v="0"/>
          </reference>
        </references>
      </pivotArea>
    </format>
    <format dxfId="47">
      <pivotArea collapsedLevelsAreSubtotals="1" fieldPosition="0">
        <references count="1">
          <reference field="25" count="1">
            <x v="3"/>
          </reference>
        </references>
      </pivotArea>
    </format>
    <format dxfId="46">
      <pivotArea dataOnly="0" labelOnly="1" fieldPosition="0">
        <references count="1">
          <reference field="25" count="1">
            <x v="3"/>
          </reference>
        </references>
      </pivotArea>
    </format>
    <format dxfId="45">
      <pivotArea collapsedLevelsAreSubtotals="1" fieldPosition="0">
        <references count="1">
          <reference field="25" count="0"/>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5" count="1" selected="0">
            <x v="0"/>
          </reference>
        </references>
      </pivotArea>
    </chartFormat>
    <chartFormat chart="2" format="10">
      <pivotArea type="data" outline="0" fieldPosition="0">
        <references count="2">
          <reference field="4294967294" count="1" selected="0">
            <x v="0"/>
          </reference>
          <reference field="25" count="1" selected="0">
            <x v="2"/>
          </reference>
        </references>
      </pivotArea>
    </chartFormat>
    <chartFormat chart="2" format="11">
      <pivotArea type="data" outline="0" fieldPosition="0">
        <references count="2">
          <reference field="4294967294" count="1" selected="0">
            <x v="0"/>
          </reference>
          <reference field="2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24B698-6FC6-4513-A5BA-C871765A2F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6:K15" firstHeaderRow="1" firstDataRow="1" firstDataCol="1"/>
  <pivotFields count="26">
    <pivotField showAll="0"/>
    <pivotField showAll="0"/>
    <pivotField showAll="0"/>
    <pivotField showAll="0">
      <items count="3">
        <item x="0"/>
        <item x="1"/>
        <item t="default"/>
      </items>
    </pivotField>
    <pivotField showAll="0"/>
    <pivotField showAll="0"/>
    <pivotField showAll="0">
      <items count="11">
        <item x="8"/>
        <item x="1"/>
        <item x="3"/>
        <item x="0"/>
        <item x="7"/>
        <item x="5"/>
        <item m="1" x="9"/>
        <item x="6"/>
        <item x="2"/>
        <item x="4"/>
        <item t="default"/>
      </items>
    </pivotField>
    <pivotField axis="axisRow" showAll="0">
      <items count="13">
        <item x="5"/>
        <item x="4"/>
        <item x="3"/>
        <item m="1" x="10"/>
        <item x="1"/>
        <item m="1" x="9"/>
        <item x="2"/>
        <item x="7"/>
        <item x="6"/>
        <item m="1" x="8"/>
        <item x="0"/>
        <item m="1" x="11"/>
        <item t="default"/>
      </items>
    </pivotField>
    <pivotField showAll="0">
      <items count="10">
        <item x="1"/>
        <item x="8"/>
        <item x="3"/>
        <item x="0"/>
        <item x="7"/>
        <item x="6"/>
        <item x="5"/>
        <item x="4"/>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0"/>
        <item m="1" x="4"/>
        <item x="2"/>
        <item x="1"/>
        <item m="1" x="3"/>
        <item t="default"/>
      </items>
    </pivotField>
  </pivotFields>
  <rowFields count="1">
    <field x="7"/>
  </rowFields>
  <rowItems count="9">
    <i>
      <x/>
    </i>
    <i>
      <x v="1"/>
    </i>
    <i>
      <x v="2"/>
    </i>
    <i>
      <x v="4"/>
    </i>
    <i>
      <x v="6"/>
    </i>
    <i>
      <x v="7"/>
    </i>
    <i>
      <x v="8"/>
    </i>
    <i>
      <x v="10"/>
    </i>
    <i t="grand">
      <x/>
    </i>
  </rowItems>
  <colItems count="1">
    <i/>
  </colItems>
  <dataFields count="1">
    <dataField name="Sum of كمية" fld="14" baseField="0" baseItem="0"/>
  </dataFields>
  <formats count="1">
    <format dxfId="5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A5B227BE-8C6D-47EF-819D-73637BEEA10B}" sourceName="نوع العميل">
  <pivotTables>
    <pivotTable tabId="4" name="PivotTable21"/>
    <pivotTable tabId="4" name="PivotTable1"/>
    <pivotTable tabId="4" name="PivotTable16"/>
    <pivotTable tabId="4" name="PivotTable17"/>
    <pivotTable tabId="4" name="PivotTable19"/>
    <pivotTable tabId="4" name="PivotTable20"/>
    <pivotTable tabId="4" name="PivotTable22"/>
    <pivotTable tabId="4" name="PivotTable3"/>
    <pivotTable tabId="4" name="PivotTable4"/>
    <pivotTable tabId="4" name="PivotTable7"/>
  </pivotTables>
  <data>
    <tabular pivotCacheId="128413515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حافظة" xr10:uid="{E5D0675C-5B2D-4969-9C72-2CABE259A905}" sourceName="المحافظة">
  <pivotTables>
    <pivotTable tabId="4" name="PivotTable21"/>
    <pivotTable tabId="4" name="PivotTable1"/>
    <pivotTable tabId="4" name="PivotTable16"/>
    <pivotTable tabId="4" name="PivotTable17"/>
    <pivotTable tabId="4" name="PivotTable19"/>
    <pivotTable tabId="4" name="PivotTable20"/>
    <pivotTable tabId="4" name="PivotTable22"/>
    <pivotTable tabId="4" name="PivotTable3"/>
    <pivotTable tabId="4" name="PivotTable4"/>
    <pivotTable tabId="4" name="PivotTable7"/>
  </pivotTables>
  <data>
    <tabular pivotCacheId="1284135154">
      <items count="10">
        <i x="8" s="1"/>
        <i x="1" s="1"/>
        <i x="3" s="1"/>
        <i x="0" s="1"/>
        <i x="7" s="1"/>
        <i x="5" s="1"/>
        <i x="6" s="1"/>
        <i x="2" s="1"/>
        <i x="4" s="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4F450189-298C-44B7-A39A-E286AF70CF4B}" sourceName="الحالة">
  <pivotTables>
    <pivotTable tabId="4" name="PivotTable21"/>
    <pivotTable tabId="4" name="PivotTable1"/>
    <pivotTable tabId="4" name="PivotTable16"/>
    <pivotTable tabId="4" name="PivotTable17"/>
    <pivotTable tabId="4" name="PivotTable19"/>
    <pivotTable tabId="4" name="PivotTable20"/>
    <pivotTable tabId="4" name="PivotTable22"/>
    <pivotTable tabId="4" name="PivotTable3"/>
    <pivotTable tabId="4" name="PivotTable4"/>
    <pivotTable tabId="4" name="PivotTable7"/>
  </pivotTables>
  <data>
    <tabular pivotCacheId="1284135154">
      <items count="5">
        <i x="0" s="1"/>
        <i x="2" s="1"/>
        <i x="1" s="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 xr10:uid="{0B90729C-1DA0-40FD-83D7-DE1389B7561B}" sourceName="المنتج">
  <pivotTables>
    <pivotTable tabId="4" name="PivotTable20"/>
    <pivotTable tabId="4" name="PivotTable1"/>
    <pivotTable tabId="4" name="PivotTable16"/>
    <pivotTable tabId="4" name="PivotTable17"/>
    <pivotTable tabId="4" name="PivotTable19"/>
    <pivotTable tabId="4" name="PivotTable21"/>
    <pivotTable tabId="4" name="PivotTable22"/>
    <pivotTable tabId="4" name="PivotTable3"/>
    <pivotTable tabId="4" name="PivotTable4"/>
    <pivotTable tabId="4" name="PivotTable7"/>
  </pivotTables>
  <data>
    <tabular pivotCacheId="1284135154">
      <items count="9">
        <i x="1" s="1"/>
        <i x="8" s="1"/>
        <i x="3" s="1"/>
        <i x="0" s="1"/>
        <i x="7" s="1"/>
        <i x="6" s="1"/>
        <i x="5"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5BEB38CE-20AC-47E4-A8F0-9D6E1235292C}" sourceName="منصة البيع ">
  <pivotTables>
    <pivotTable tabId="4" name="PivotTable16"/>
    <pivotTable tabId="4" name="PivotTable1"/>
    <pivotTable tabId="4" name="PivotTable17"/>
    <pivotTable tabId="4" name="PivotTable19"/>
    <pivotTable tabId="4" name="PivotTable20"/>
    <pivotTable tabId="4" name="PivotTable21"/>
    <pivotTable tabId="4" name="PivotTable22"/>
    <pivotTable tabId="4" name="PivotTable3"/>
    <pivotTable tabId="4" name="PivotTable4"/>
    <pivotTable tabId="4" name="PivotTable7"/>
  </pivotTables>
  <data>
    <tabular pivotCacheId="1284135154">
      <items count="12">
        <i x="5" s="1"/>
        <i x="4" s="1"/>
        <i x="3" s="1"/>
        <i x="1" s="1"/>
        <i x="2" s="1"/>
        <i x="7" s="1"/>
        <i x="6" s="1"/>
        <i x="0" s="1"/>
        <i x="10" s="1" nd="1"/>
        <i x="9" s="1" nd="1"/>
        <i x="8"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نوع العميل" xr10:uid="{34115AEF-655A-4028-9918-EAACDD9C059F}" cache="Slicer_نوع_العميل" caption="نوع العميل" style="Slicer Style 1" rowHeight="241300"/>
  <slicer name="المحافظة" xr10:uid="{137B91D9-0080-4311-AF15-0F4EAC638E2F}" cache="Slicer_المحافظة" caption="المحافظة" style="Slicer Style 1" rowHeight="241300"/>
  <slicer name="الحالة" xr10:uid="{17073AA6-C670-4C6B-AB99-5B9BD2FAA876}" cache="Slicer_الحالة" caption="الحالة" style="Slicer Style 1" rowHeight="241300"/>
  <slicer name="المنتج" xr10:uid="{AAC0BE47-731C-4642-A10D-EF1E06587E13}" cache="Slicer_المنتج" caption="المنتج" style="Slicer Style 1" rowHeight="241300"/>
  <slicer name="منصة البيع " xr10:uid="{D864AA6E-B0BA-4D94-8702-BD5CDCC533C9}" cache="Slicer_منصة_البيع" caption="منصة البيع "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798A78-3521-436D-9BC5-851ED3CB5E63}" name="misuo" displayName="misuo" ref="A1:Z127" totalsRowShown="0">
  <autoFilter ref="A1:Z127" xr:uid="{D2798A78-3521-436D-9BC5-851ED3CB5E63}"/>
  <tableColumns count="26">
    <tableColumn id="2" xr3:uid="{61022618-540C-4763-BEF9-A85BB1C78249}" name="رقم العملية"/>
    <tableColumn id="3" xr3:uid="{5AF6AC70-B092-4026-B2D3-635ECBECD809}" name="رقم الطلب"/>
    <tableColumn id="4" xr3:uid="{47BE3B96-D330-4BBC-A2D2-F81C95C9CDF8}" name="أسم العميل"/>
    <tableColumn id="21" xr3:uid="{C00E8D9C-97BC-4522-BBD1-A7691DC3584F}" name="نوع العميل" dataDxfId="59">
      <calculatedColumnFormula>IF(OR(misuo[[#This Row],[أسم العميل]]="شيك هومز",misuo[[#This Row],[أسم العميل]]="اوسكار راتن",misuo[[#This Row],[أسم العميل]]="تاكى",misuo[[#This Row],[أسم العميل]]="بافلى هانى",misuo[[#This Row],[أسم العميل]]="منزلى"),"شركات","افراد")</calculatedColumnFormula>
    </tableColumn>
    <tableColumn id="26" xr3:uid="{3A37DF6D-9710-470C-8529-21FB9D14EC87}" name="عدم التكرار" dataDxfId="58">
      <calculatedColumnFormula>IF(COUNTIFS($C$2:C2, C2, $D$2:D2, D2)=1, 1, 0)</calculatedColumnFormula>
    </tableColumn>
    <tableColumn id="5" xr3:uid="{8A9922D2-A0CD-402D-B813-D91B1A5543A7}" name="العنوان"/>
    <tableColumn id="25" xr3:uid="{4B4011F9-7077-49D0-994F-7EB7A5DD5BEE}" name="المحافظة"/>
    <tableColumn id="6" xr3:uid="{531866FB-239E-4CF3-9FE1-039571685D15}" name="منصة البيع "/>
    <tableColumn id="7" xr3:uid="{329594CA-08DA-45AC-A7F7-910A5361B134}" name="المنتج"/>
    <tableColumn id="8" xr3:uid="{990A4B5E-F656-488D-9380-13FEF9368A58}" name="نوع المنتج"/>
    <tableColumn id="9" xr3:uid="{662B455F-E61E-4860-B044-7FE4EA33EB21}" name="الاسم"/>
    <tableColumn id="10" xr3:uid="{345D5343-7CAB-45ED-B313-6D190D457227}" name="المقاس"/>
    <tableColumn id="11" xr3:uid="{5C975D49-D925-40FA-B4F8-11E4DAD95CCE}" name="اللون المعدن"/>
    <tableColumn id="12" xr3:uid="{31B80E94-009E-4D77-9354-4505E90078A0}" name="لون القماش"/>
    <tableColumn id="15" xr3:uid="{5CCA6DED-DAF8-49A0-BB80-9F0BC3BD6ED0}" name="كمية"/>
    <tableColumn id="13" xr3:uid="{D1430ED2-4D5A-4B23-8A5C-34451686BB87}" name="وصف المنتج"/>
    <tableColumn id="14" xr3:uid="{5C7E7829-EAB2-4268-9FAB-15FA3FD2CCF4}" name="سعر البيع "/>
    <tableColumn id="22" xr3:uid="{1285CBC7-FEF0-49C4-9688-521AB4B8430A}" name="طريقة الدفع" dataDxfId="57"/>
    <tableColumn id="16" xr3:uid="{E2B28B8B-CFBC-439F-8D85-DC762E0967F1}" name="ميعاد الطلب" dataDxfId="56"/>
    <tableColumn id="17" xr3:uid="{1A1B1E1B-A2CA-408E-8E56-91ED4C4CCBF5}" name="ميعاد التسليم" dataDxfId="55"/>
    <tableColumn id="18" xr3:uid="{E1959E39-8CB9-4EDA-BBF2-E00B29924D1E}" name="تاريخ التسليم" dataDxfId="54"/>
    <tableColumn id="24" xr3:uid="{734105D8-C844-4828-8240-4F0E03473745}" name="مدة التسليم المتوقعة" dataDxfId="53">
      <calculatedColumnFormula>misuo[[#This Row],[ميعاد التسليم]]-misuo[[#This Row],[ميعاد الطلب]]</calculatedColumnFormula>
    </tableColumn>
    <tableColumn id="23" xr3:uid="{8DA1F051-CFFC-42FC-8CB8-D6E5C8CF17DB}" name="مدة التسليم الفعلية" dataDxfId="52">
      <calculatedColumnFormula>misuo[[#This Row],[تاريخ التسليم]]-misuo[[#This Row],[ميعاد الطلب]]</calculatedColumnFormula>
    </tableColumn>
    <tableColumn id="27" xr3:uid="{66AA8557-6319-4C7E-960B-4448C975E79D}" name="Ontime Delivery" dataDxfId="51">
      <calculatedColumnFormula>misuo[[#This Row],[مدة التسليم الفعلية]]-misuo[[#This Row],[مدة التسليم المتوقعة]]</calculatedColumnFormula>
    </tableColumn>
    <tableColumn id="19" xr3:uid="{5F8B0FDB-1F35-4B52-9FA7-8035B2A836D7}" name="المسئول عن التسليم"/>
    <tableColumn id="20" xr3:uid="{064C9CE2-4190-4BB6-8764-5128D762D8E3}" name="الحالة"/>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B16"/>
  <sheetViews>
    <sheetView showGridLines="0" rightToLeft="1" workbookViewId="0">
      <selection activeCell="A16" sqref="A16"/>
    </sheetView>
  </sheetViews>
  <sheetFormatPr defaultRowHeight="14.25" x14ac:dyDescent="0.2"/>
  <cols>
    <col min="2" max="2" width="41.875" customWidth="1"/>
  </cols>
  <sheetData>
    <row r="1" spans="1:2" ht="15" x14ac:dyDescent="0.25">
      <c r="A1" s="7"/>
      <c r="B1" s="7"/>
    </row>
    <row r="2" spans="1:2" ht="15" x14ac:dyDescent="0.25">
      <c r="A2" s="7"/>
      <c r="B2" s="7"/>
    </row>
    <row r="3" spans="1:2" s="5" customFormat="1" ht="25.5" x14ac:dyDescent="0.35">
      <c r="A3" s="5" t="s">
        <v>284</v>
      </c>
    </row>
    <row r="4" spans="1:2" s="6" customFormat="1" ht="18.75" x14ac:dyDescent="0.3">
      <c r="A4" s="9" t="s">
        <v>277</v>
      </c>
      <c r="B4" s="9"/>
    </row>
    <row r="5" spans="1:2" s="2" customFormat="1" ht="15" x14ac:dyDescent="0.25">
      <c r="A5" s="10"/>
      <c r="B5" s="10"/>
    </row>
    <row r="6" spans="1:2" s="4" customFormat="1" ht="18.75" x14ac:dyDescent="0.3">
      <c r="A6" s="4" t="s">
        <v>283</v>
      </c>
    </row>
    <row r="7" spans="1:2" s="3" customFormat="1" ht="15.75" x14ac:dyDescent="0.25">
      <c r="A7" s="11" t="s">
        <v>278</v>
      </c>
      <c r="B7" s="8"/>
    </row>
    <row r="8" spans="1:2" s="3" customFormat="1" ht="15.75" x14ac:dyDescent="0.25">
      <c r="A8" s="8" t="s">
        <v>279</v>
      </c>
      <c r="B8" s="8"/>
    </row>
    <row r="9" spans="1:2" s="3" customFormat="1" ht="15.75" x14ac:dyDescent="0.25">
      <c r="A9" s="8" t="s">
        <v>280</v>
      </c>
      <c r="B9" s="8"/>
    </row>
    <row r="10" spans="1:2" s="3" customFormat="1" ht="15.75" x14ac:dyDescent="0.25">
      <c r="A10" s="8" t="s">
        <v>281</v>
      </c>
      <c r="B10" s="8"/>
    </row>
    <row r="11" spans="1:2" s="8" customFormat="1" ht="15.75" x14ac:dyDescent="0.25">
      <c r="A11" s="8" t="s">
        <v>285</v>
      </c>
    </row>
    <row r="12" spans="1:2" s="3" customFormat="1" ht="15.75" x14ac:dyDescent="0.25">
      <c r="A12" s="8" t="s">
        <v>286</v>
      </c>
      <c r="B12" s="8"/>
    </row>
    <row r="13" spans="1:2" s="3" customFormat="1" ht="15.75" x14ac:dyDescent="0.25">
      <c r="A13" s="8" t="s">
        <v>282</v>
      </c>
      <c r="B13" s="8"/>
    </row>
    <row r="14" spans="1:2" s="3" customFormat="1" ht="15.75" x14ac:dyDescent="0.25">
      <c r="A14" s="8" t="s">
        <v>289</v>
      </c>
      <c r="B14" s="8"/>
    </row>
    <row r="15" spans="1:2" s="3" customFormat="1" ht="15.75" x14ac:dyDescent="0.25">
      <c r="A15" s="8" t="s">
        <v>287</v>
      </c>
      <c r="B15" s="8"/>
    </row>
    <row r="16" spans="1:2" ht="15.75" x14ac:dyDescent="0.25">
      <c r="A16" s="8" t="s">
        <v>288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74"/>
  <sheetViews>
    <sheetView rightToLeft="1" topLeftCell="C1" zoomScaleNormal="100" workbookViewId="0">
      <selection activeCell="H133" sqref="H133"/>
    </sheetView>
  </sheetViews>
  <sheetFormatPr defaultColWidth="8.875" defaultRowHeight="14.25" x14ac:dyDescent="0.2"/>
  <cols>
    <col min="1" max="1" width="16" style="12" bestFit="1" customWidth="1"/>
    <col min="2" max="2" width="15.5" style="12" bestFit="1" customWidth="1"/>
    <col min="3" max="3" width="16.375" style="12" bestFit="1" customWidth="1"/>
    <col min="4" max="5" width="16.375" style="12" customWidth="1"/>
    <col min="6" max="6" width="30.875" style="12" bestFit="1" customWidth="1"/>
    <col min="7" max="7" width="30.875" style="12" customWidth="1"/>
    <col min="8" max="8" width="16.125" style="12" bestFit="1" customWidth="1"/>
    <col min="9" max="9" width="21.25" style="12" customWidth="1"/>
    <col min="10" max="10" width="16.125" style="12" customWidth="1"/>
    <col min="11" max="11" width="11.875" style="12" bestFit="1" customWidth="1"/>
    <col min="12" max="12" width="13" style="12" bestFit="1" customWidth="1"/>
    <col min="13" max="13" width="17.125" style="12" bestFit="1" customWidth="1"/>
    <col min="14" max="14" width="16.125" style="12" bestFit="1" customWidth="1"/>
    <col min="15" max="15" width="16.125" style="12" customWidth="1"/>
    <col min="16" max="16" width="36.125" style="12" bestFit="1" customWidth="1"/>
    <col min="17" max="17" width="15" style="12" bestFit="1" customWidth="1"/>
    <col min="18" max="18" width="17.25" style="13" customWidth="1"/>
    <col min="19" max="19" width="16.75" style="17" bestFit="1" customWidth="1"/>
    <col min="20" max="20" width="17.5" style="17" bestFit="1" customWidth="1"/>
    <col min="21" max="21" width="23.875" style="17" bestFit="1" customWidth="1"/>
    <col min="22" max="24" width="23.875" style="12" customWidth="1"/>
    <col min="25" max="25" width="28" style="12" bestFit="1" customWidth="1"/>
    <col min="26" max="26" width="11.375" style="14" bestFit="1" customWidth="1"/>
    <col min="27" max="16384" width="8.875" style="1"/>
  </cols>
  <sheetData>
    <row r="1" spans="1:26" ht="20.100000000000001" customHeight="1" x14ac:dyDescent="0.2">
      <c r="A1" t="s">
        <v>164</v>
      </c>
      <c r="B1" t="s">
        <v>165</v>
      </c>
      <c r="C1" t="s">
        <v>0</v>
      </c>
      <c r="D1" t="s">
        <v>291</v>
      </c>
      <c r="E1" t="s">
        <v>321</v>
      </c>
      <c r="F1" t="s">
        <v>1</v>
      </c>
      <c r="G1" t="s">
        <v>297</v>
      </c>
      <c r="H1" t="s">
        <v>5</v>
      </c>
      <c r="I1" t="s">
        <v>2</v>
      </c>
      <c r="J1" t="s">
        <v>290</v>
      </c>
      <c r="K1" t="s">
        <v>157</v>
      </c>
      <c r="L1" t="s">
        <v>158</v>
      </c>
      <c r="M1" t="s">
        <v>162</v>
      </c>
      <c r="N1" t="s">
        <v>163</v>
      </c>
      <c r="O1" t="s">
        <v>323</v>
      </c>
      <c r="P1" t="s">
        <v>292</v>
      </c>
      <c r="Q1" t="s">
        <v>7</v>
      </c>
      <c r="R1" t="s">
        <v>293</v>
      </c>
      <c r="S1" s="16" t="s">
        <v>9</v>
      </c>
      <c r="T1" s="16" t="s">
        <v>8</v>
      </c>
      <c r="U1" s="16" t="s">
        <v>3</v>
      </c>
      <c r="V1" t="s">
        <v>295</v>
      </c>
      <c r="W1" t="s">
        <v>296</v>
      </c>
      <c r="X1" t="s">
        <v>314</v>
      </c>
      <c r="Y1" t="s">
        <v>4</v>
      </c>
      <c r="Z1" t="s">
        <v>170</v>
      </c>
    </row>
    <row r="2" spans="1:26" ht="20.100000000000001" customHeight="1" x14ac:dyDescent="0.2">
      <c r="A2"/>
      <c r="B2"/>
      <c r="C2" t="s">
        <v>10</v>
      </c>
      <c r="D2" t="str">
        <f>IF(OR(misuo[[#This Row],[أسم العميل]]="شيك هومز", misuo[[#This Row],[أسم العميل]]="اوسكار راتن", misuo[[#This Row],[أسم العميل]]="تاكى", misuo[[#This Row],[أسم العميل]]="بافلى هانى", misuo[[#This Row],[أسم العميل]]="منزلى"), "شركات", "افراد")</f>
        <v>افراد</v>
      </c>
      <c r="E2">
        <f>IF(COUNTIFS($C$2:C2, C2, $D$2:D2, D2)=1, 1, 0)</f>
        <v>1</v>
      </c>
      <c r="F2" t="s">
        <v>315</v>
      </c>
      <c r="G2" t="s">
        <v>299</v>
      </c>
      <c r="H2" t="s">
        <v>6</v>
      </c>
      <c r="I2" t="s">
        <v>136</v>
      </c>
      <c r="J2" t="s">
        <v>137</v>
      </c>
      <c r="K2"/>
      <c r="L2"/>
      <c r="M2" t="s">
        <v>150</v>
      </c>
      <c r="N2" t="s">
        <v>150</v>
      </c>
      <c r="O2">
        <v>1</v>
      </c>
      <c r="P2" t="s">
        <v>11</v>
      </c>
      <c r="Q2">
        <v>10160</v>
      </c>
      <c r="R2" t="s">
        <v>12</v>
      </c>
      <c r="S2" s="16">
        <f>DATE(2024,7,27)</f>
        <v>45500</v>
      </c>
      <c r="T2" s="16"/>
      <c r="U2" s="16">
        <v>45514</v>
      </c>
      <c r="V2">
        <v>0</v>
      </c>
      <c r="W2">
        <f>misuo[[#This Row],[تاريخ التسليم]]-misuo[[#This Row],[ميعاد الطلب]]</f>
        <v>14</v>
      </c>
      <c r="X2">
        <f>misuo[[#This Row],[مدة التسليم الفعلية]]-misuo[[#This Row],[مدة التسليم المتوقعة]]</f>
        <v>14</v>
      </c>
      <c r="Y2" t="s">
        <v>22</v>
      </c>
      <c r="Z2" t="s">
        <v>172</v>
      </c>
    </row>
    <row r="3" spans="1:26" ht="20.100000000000001" customHeight="1" x14ac:dyDescent="0.2">
      <c r="A3"/>
      <c r="B3"/>
      <c r="C3" t="s">
        <v>13</v>
      </c>
      <c r="D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3">
        <f>IF(COUNTIFS($C$2:C3, C3, $D$2:D3, D3)=1, 1, 0)</f>
        <v>1</v>
      </c>
      <c r="F3" t="s">
        <v>14</v>
      </c>
      <c r="G3" t="s">
        <v>300</v>
      </c>
      <c r="H3" t="s">
        <v>6</v>
      </c>
      <c r="I3" t="s">
        <v>136</v>
      </c>
      <c r="J3" t="s">
        <v>137</v>
      </c>
      <c r="K3"/>
      <c r="L3"/>
      <c r="M3" t="s">
        <v>151</v>
      </c>
      <c r="N3" t="s">
        <v>151</v>
      </c>
      <c r="O3">
        <v>1</v>
      </c>
      <c r="P3" t="s">
        <v>15</v>
      </c>
      <c r="Q3">
        <v>10160</v>
      </c>
      <c r="R3" t="s">
        <v>294</v>
      </c>
      <c r="S3" s="16">
        <f>DATE(2024,7,28)</f>
        <v>45501</v>
      </c>
      <c r="T3" s="16"/>
      <c r="U3" s="16">
        <v>45515</v>
      </c>
      <c r="V3">
        <v>0</v>
      </c>
      <c r="W3">
        <f>misuo[[#This Row],[تاريخ التسليم]]-misuo[[#This Row],[ميعاد الطلب]]</f>
        <v>14</v>
      </c>
      <c r="X3">
        <f>misuo[[#This Row],[مدة التسليم الفعلية]]-misuo[[#This Row],[مدة التسليم المتوقعة]]</f>
        <v>14</v>
      </c>
      <c r="Y3" t="s">
        <v>22</v>
      </c>
      <c r="Z3" t="s">
        <v>172</v>
      </c>
    </row>
    <row r="4" spans="1:26" ht="20.100000000000001" customHeight="1" x14ac:dyDescent="0.2">
      <c r="A4"/>
      <c r="B4"/>
      <c r="C4" t="s">
        <v>16</v>
      </c>
      <c r="D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
        <f>IF(COUNTIFS($C$2:C4, C4, $D$2:D4, D4)=1, 1, 0)</f>
        <v>1</v>
      </c>
      <c r="F4" t="s">
        <v>17</v>
      </c>
      <c r="G4" t="s">
        <v>301</v>
      </c>
      <c r="H4" t="s">
        <v>6</v>
      </c>
      <c r="I4" t="s">
        <v>136</v>
      </c>
      <c r="J4" t="s">
        <v>148</v>
      </c>
      <c r="K4" t="s">
        <v>141</v>
      </c>
      <c r="L4">
        <v>90</v>
      </c>
      <c r="M4" t="s">
        <v>153</v>
      </c>
      <c r="N4"/>
      <c r="O4">
        <v>1</v>
      </c>
      <c r="P4" t="s">
        <v>18</v>
      </c>
      <c r="Q4">
        <v>11455</v>
      </c>
      <c r="R4" t="s">
        <v>294</v>
      </c>
      <c r="S4" s="16">
        <f>DATE(2024,7,27)</f>
        <v>45500</v>
      </c>
      <c r="T4" s="16"/>
      <c r="U4" s="16"/>
      <c r="V4">
        <v>0</v>
      </c>
      <c r="W4"/>
      <c r="X4"/>
      <c r="Y4" t="s">
        <v>28</v>
      </c>
      <c r="Z4" t="s">
        <v>326</v>
      </c>
    </row>
    <row r="5" spans="1:26" ht="20.100000000000001" customHeight="1" x14ac:dyDescent="0.2">
      <c r="A5"/>
      <c r="B5"/>
      <c r="C5" t="s">
        <v>19</v>
      </c>
      <c r="D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
        <f>IF(COUNTIFS($C$2:C5, C5, $D$2:D5, D5)=1, 1, 0)</f>
        <v>1</v>
      </c>
      <c r="F5" t="s">
        <v>20</v>
      </c>
      <c r="G5" t="s">
        <v>302</v>
      </c>
      <c r="H5" t="s">
        <v>6</v>
      </c>
      <c r="I5" t="s">
        <v>250</v>
      </c>
      <c r="J5"/>
      <c r="K5"/>
      <c r="L5"/>
      <c r="M5"/>
      <c r="N5"/>
      <c r="O5">
        <v>1</v>
      </c>
      <c r="P5" t="s">
        <v>21</v>
      </c>
      <c r="Q5">
        <v>8642</v>
      </c>
      <c r="R5" t="s">
        <v>12</v>
      </c>
      <c r="S5" s="16">
        <v>45529</v>
      </c>
      <c r="T5" s="16">
        <v>45542</v>
      </c>
      <c r="U5" s="16">
        <v>45531</v>
      </c>
      <c r="V5">
        <f>misuo[[#This Row],[ميعاد التسليم]]-misuo[[#This Row],[ميعاد الطلب]]</f>
        <v>13</v>
      </c>
      <c r="W5">
        <f>misuo[[#This Row],[تاريخ التسليم]]-misuo[[#This Row],[ميعاد الطلب]]</f>
        <v>2</v>
      </c>
      <c r="X5">
        <f>misuo[[#This Row],[مدة التسليم الفعلية]]-misuo[[#This Row],[مدة التسليم المتوقعة]]</f>
        <v>-11</v>
      </c>
      <c r="Y5" t="s">
        <v>22</v>
      </c>
      <c r="Z5" t="s">
        <v>172</v>
      </c>
    </row>
    <row r="6" spans="1:26" ht="20.100000000000001" customHeight="1" x14ac:dyDescent="0.2">
      <c r="A6"/>
      <c r="B6"/>
      <c r="C6" t="s">
        <v>23</v>
      </c>
      <c r="D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
        <f>IF(COUNTIFS($C$2:C6, C6, $D$2:D6, D6)=1, 1, 0)</f>
        <v>1</v>
      </c>
      <c r="F6" t="s">
        <v>17</v>
      </c>
      <c r="G6" t="s">
        <v>301</v>
      </c>
      <c r="H6" t="s">
        <v>6</v>
      </c>
      <c r="I6" t="s">
        <v>136</v>
      </c>
      <c r="J6" t="s">
        <v>148</v>
      </c>
      <c r="K6" t="s">
        <v>138</v>
      </c>
      <c r="L6">
        <v>100</v>
      </c>
      <c r="M6" t="s">
        <v>155</v>
      </c>
      <c r="N6"/>
      <c r="O6">
        <v>1</v>
      </c>
      <c r="P6" t="s">
        <v>24</v>
      </c>
      <c r="Q6">
        <v>12833</v>
      </c>
      <c r="R6" t="s">
        <v>294</v>
      </c>
      <c r="S6" s="16">
        <v>45520</v>
      </c>
      <c r="T6" s="16">
        <v>45535</v>
      </c>
      <c r="U6" s="16"/>
      <c r="V6">
        <f>misuo[[#This Row],[ميعاد التسليم]]-misuo[[#This Row],[ميعاد الطلب]]</f>
        <v>15</v>
      </c>
      <c r="W6"/>
      <c r="X6">
        <f>misuo[[#This Row],[مدة التسليم الفعلية]]-misuo[[#This Row],[مدة التسليم المتوقعة]]</f>
        <v>-15</v>
      </c>
      <c r="Y6" t="s">
        <v>28</v>
      </c>
      <c r="Z6" t="s">
        <v>326</v>
      </c>
    </row>
    <row r="7" spans="1:26" ht="20.100000000000001" customHeight="1" x14ac:dyDescent="0.2">
      <c r="A7"/>
      <c r="B7"/>
      <c r="C7" t="s">
        <v>42</v>
      </c>
      <c r="D7"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7">
        <f>IF(COUNTIFS($C$2:C7, C7, $D$2:D7, D7)=1, 1, 0)</f>
        <v>1</v>
      </c>
      <c r="F7"/>
      <c r="G7"/>
      <c r="H7" t="s">
        <v>42</v>
      </c>
      <c r="I7" t="s">
        <v>149</v>
      </c>
      <c r="J7" t="s">
        <v>179</v>
      </c>
      <c r="K7"/>
      <c r="L7"/>
      <c r="M7" t="s">
        <v>155</v>
      </c>
      <c r="N7"/>
      <c r="O7">
        <v>1</v>
      </c>
      <c r="P7" t="s">
        <v>25</v>
      </c>
      <c r="Q7">
        <v>14550</v>
      </c>
      <c r="R7" t="s">
        <v>12</v>
      </c>
      <c r="S7" s="16">
        <v>45518</v>
      </c>
      <c r="T7" s="16">
        <v>45538</v>
      </c>
      <c r="U7" s="16">
        <v>45540</v>
      </c>
      <c r="V7">
        <f>misuo[[#This Row],[ميعاد التسليم]]-misuo[[#This Row],[ميعاد الطلب]]</f>
        <v>20</v>
      </c>
      <c r="W7">
        <f>misuo[[#This Row],[تاريخ التسليم]]-misuo[[#This Row],[ميعاد الطلب]]</f>
        <v>22</v>
      </c>
      <c r="X7">
        <f>misuo[[#This Row],[مدة التسليم الفعلية]]-misuo[[#This Row],[مدة التسليم المتوقعة]]</f>
        <v>2</v>
      </c>
      <c r="Y7" t="s">
        <v>22</v>
      </c>
      <c r="Z7" t="s">
        <v>172</v>
      </c>
    </row>
    <row r="8" spans="1:26" ht="20.100000000000001" customHeight="1" x14ac:dyDescent="0.2">
      <c r="A8"/>
      <c r="B8"/>
      <c r="C8" t="s">
        <v>26</v>
      </c>
      <c r="D8"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8">
        <f>IF(COUNTIFS($C$2:C8, C8, $D$2:D8, D8)=1, 1, 0)</f>
        <v>1</v>
      </c>
      <c r="F8" t="s">
        <v>27</v>
      </c>
      <c r="G8" t="s">
        <v>303</v>
      </c>
      <c r="H8" t="s">
        <v>241</v>
      </c>
      <c r="I8" t="s">
        <v>149</v>
      </c>
      <c r="J8" t="s">
        <v>179</v>
      </c>
      <c r="K8"/>
      <c r="L8"/>
      <c r="M8" t="s">
        <v>155</v>
      </c>
      <c r="N8"/>
      <c r="O8">
        <v>1</v>
      </c>
      <c r="P8" t="s">
        <v>25</v>
      </c>
      <c r="Q8">
        <v>12000</v>
      </c>
      <c r="R8" t="s">
        <v>294</v>
      </c>
      <c r="S8" s="16">
        <v>45521</v>
      </c>
      <c r="T8" s="16">
        <v>45524</v>
      </c>
      <c r="U8" s="16">
        <v>45523</v>
      </c>
      <c r="V8">
        <f>misuo[[#This Row],[ميعاد التسليم]]-misuo[[#This Row],[ميعاد الطلب]]</f>
        <v>3</v>
      </c>
      <c r="W8">
        <f>misuo[[#This Row],[تاريخ التسليم]]-misuo[[#This Row],[ميعاد الطلب]]</f>
        <v>2</v>
      </c>
      <c r="X8">
        <f>misuo[[#This Row],[مدة التسليم الفعلية]]-misuo[[#This Row],[مدة التسليم المتوقعة]]</f>
        <v>-1</v>
      </c>
      <c r="Y8" t="s">
        <v>22</v>
      </c>
      <c r="Z8" t="s">
        <v>172</v>
      </c>
    </row>
    <row r="9" spans="1:26" ht="20.100000000000001" customHeight="1" x14ac:dyDescent="0.2">
      <c r="A9"/>
      <c r="B9"/>
      <c r="C9" t="s">
        <v>29</v>
      </c>
      <c r="D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9">
        <f>IF(COUNTIFS($C$2:C9, C9, $D$2:D9, D9)=1, 1, 0)</f>
        <v>1</v>
      </c>
      <c r="F9" t="s">
        <v>30</v>
      </c>
      <c r="G9" t="s">
        <v>299</v>
      </c>
      <c r="H9" t="s">
        <v>6</v>
      </c>
      <c r="I9" t="s">
        <v>136</v>
      </c>
      <c r="J9" t="s">
        <v>139</v>
      </c>
      <c r="K9"/>
      <c r="L9"/>
      <c r="M9" t="s">
        <v>150</v>
      </c>
      <c r="N9"/>
      <c r="O9">
        <v>1</v>
      </c>
      <c r="P9" t="s">
        <v>31</v>
      </c>
      <c r="Q9">
        <v>7228</v>
      </c>
      <c r="R9" t="s">
        <v>12</v>
      </c>
      <c r="S9" s="16">
        <v>45529</v>
      </c>
      <c r="T9" s="16">
        <v>45538</v>
      </c>
      <c r="U9" s="16">
        <v>45545</v>
      </c>
      <c r="V9">
        <f>misuo[[#This Row],[ميعاد التسليم]]-misuo[[#This Row],[ميعاد الطلب]]</f>
        <v>9</v>
      </c>
      <c r="W9">
        <f>misuo[[#This Row],[تاريخ التسليم]]-misuo[[#This Row],[ميعاد الطلب]]</f>
        <v>16</v>
      </c>
      <c r="X9">
        <f>misuo[[#This Row],[مدة التسليم الفعلية]]-misuo[[#This Row],[مدة التسليم المتوقعة]]</f>
        <v>7</v>
      </c>
      <c r="Y9" t="s">
        <v>22</v>
      </c>
      <c r="Z9" t="s">
        <v>172</v>
      </c>
    </row>
    <row r="10" spans="1:26" ht="20.100000000000001" customHeight="1" x14ac:dyDescent="0.2">
      <c r="A10"/>
      <c r="B10"/>
      <c r="C10" t="s">
        <v>33</v>
      </c>
      <c r="D10"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0">
        <f>IF(COUNTIFS($C$2:C10, C10, $D$2:D10, D10)=1, 1, 0)</f>
        <v>1</v>
      </c>
      <c r="F10" t="s">
        <v>32</v>
      </c>
      <c r="G10" t="s">
        <v>303</v>
      </c>
      <c r="H10" t="s">
        <v>33</v>
      </c>
      <c r="I10" t="s">
        <v>143</v>
      </c>
      <c r="J10" t="s">
        <v>145</v>
      </c>
      <c r="K10"/>
      <c r="L10"/>
      <c r="M10"/>
      <c r="N10"/>
      <c r="O10">
        <v>1</v>
      </c>
      <c r="P10" t="s">
        <v>34</v>
      </c>
      <c r="Q10">
        <v>22000</v>
      </c>
      <c r="R10" t="s">
        <v>294</v>
      </c>
      <c r="S10" s="16">
        <v>45523</v>
      </c>
      <c r="T10" s="16">
        <v>45536</v>
      </c>
      <c r="U10" s="16">
        <v>45552</v>
      </c>
      <c r="V10">
        <f>misuo[[#This Row],[ميعاد التسليم]]-misuo[[#This Row],[ميعاد الطلب]]</f>
        <v>13</v>
      </c>
      <c r="W10">
        <f>misuo[[#This Row],[تاريخ التسليم]]-misuo[[#This Row],[ميعاد الطلب]]</f>
        <v>29</v>
      </c>
      <c r="X10">
        <f>misuo[[#This Row],[مدة التسليم الفعلية]]-misuo[[#This Row],[مدة التسليم المتوقعة]]</f>
        <v>16</v>
      </c>
      <c r="Y10"/>
      <c r="Z10" t="s">
        <v>172</v>
      </c>
    </row>
    <row r="11" spans="1:26" ht="20.100000000000001" customHeight="1" x14ac:dyDescent="0.2">
      <c r="A11"/>
      <c r="B11"/>
      <c r="C11" t="s">
        <v>33</v>
      </c>
      <c r="D11"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1">
        <f>IF(COUNTIFS($C$2:C11, C11, $D$2:D11, D11)=1, 1, 0)</f>
        <v>0</v>
      </c>
      <c r="F11" t="s">
        <v>32</v>
      </c>
      <c r="G11" t="s">
        <v>303</v>
      </c>
      <c r="H11" t="s">
        <v>33</v>
      </c>
      <c r="I11" t="s">
        <v>146</v>
      </c>
      <c r="J11" t="s">
        <v>144</v>
      </c>
      <c r="K11"/>
      <c r="L11"/>
      <c r="M11"/>
      <c r="N11"/>
      <c r="O11">
        <v>2</v>
      </c>
      <c r="P11" t="s">
        <v>35</v>
      </c>
      <c r="Q11">
        <v>16000</v>
      </c>
      <c r="R11" t="s">
        <v>294</v>
      </c>
      <c r="S11" s="16"/>
      <c r="T11" s="16"/>
      <c r="U11" s="16"/>
      <c r="V11">
        <f>misuo[[#This Row],[ميعاد التسليم]]-misuo[[#This Row],[ميعاد الطلب]]</f>
        <v>0</v>
      </c>
      <c r="W11">
        <f>misuo[[#This Row],[تاريخ التسليم]]-misuo[[#This Row],[ميعاد الطلب]]</f>
        <v>0</v>
      </c>
      <c r="X11"/>
      <c r="Y11" t="s">
        <v>28</v>
      </c>
      <c r="Z11" t="s">
        <v>326</v>
      </c>
    </row>
    <row r="12" spans="1:26" ht="20.100000000000001" customHeight="1" x14ac:dyDescent="0.2">
      <c r="A12"/>
      <c r="B12"/>
      <c r="C12" t="s">
        <v>33</v>
      </c>
      <c r="D12"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2">
        <f>IF(COUNTIFS($C$2:C12, C12, $D$2:D12, D12)=1, 1, 0)</f>
        <v>0</v>
      </c>
      <c r="F12" t="s">
        <v>36</v>
      </c>
      <c r="G12" t="s">
        <v>303</v>
      </c>
      <c r="H12" t="s">
        <v>33</v>
      </c>
      <c r="I12" t="s">
        <v>146</v>
      </c>
      <c r="J12" t="s">
        <v>144</v>
      </c>
      <c r="K12"/>
      <c r="L12"/>
      <c r="M12"/>
      <c r="N12"/>
      <c r="O12">
        <v>2</v>
      </c>
      <c r="P12" t="s">
        <v>37</v>
      </c>
      <c r="Q12">
        <v>6000</v>
      </c>
      <c r="R12" t="s">
        <v>294</v>
      </c>
      <c r="S12" s="16">
        <v>45529</v>
      </c>
      <c r="T12" s="16">
        <v>45550</v>
      </c>
      <c r="U12" s="16">
        <v>45552</v>
      </c>
      <c r="V12">
        <f>misuo[[#This Row],[ميعاد التسليم]]-misuo[[#This Row],[ميعاد الطلب]]</f>
        <v>21</v>
      </c>
      <c r="W12">
        <f>misuo[[#This Row],[تاريخ التسليم]]-misuo[[#This Row],[ميعاد الطلب]]</f>
        <v>23</v>
      </c>
      <c r="X12">
        <f>misuo[[#This Row],[مدة التسليم الفعلية]]-misuo[[#This Row],[مدة التسليم المتوقعة]]</f>
        <v>2</v>
      </c>
      <c r="Y12" t="s">
        <v>173</v>
      </c>
      <c r="Z12" t="s">
        <v>172</v>
      </c>
    </row>
    <row r="13" spans="1:26" ht="20.100000000000001" customHeight="1" x14ac:dyDescent="0.2">
      <c r="A13"/>
      <c r="B13"/>
      <c r="C13" t="s">
        <v>33</v>
      </c>
      <c r="D13"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3">
        <f>IF(COUNTIFS($C$2:C13, C13, $D$2:D13, D13)=1, 1, 0)</f>
        <v>0</v>
      </c>
      <c r="F13" t="s">
        <v>36</v>
      </c>
      <c r="G13" t="s">
        <v>303</v>
      </c>
      <c r="H13" t="s">
        <v>33</v>
      </c>
      <c r="I13" t="s">
        <v>146</v>
      </c>
      <c r="J13" t="s">
        <v>144</v>
      </c>
      <c r="K13"/>
      <c r="L13"/>
      <c r="M13"/>
      <c r="N13"/>
      <c r="O13">
        <v>2</v>
      </c>
      <c r="P13" t="s">
        <v>37</v>
      </c>
      <c r="Q13">
        <v>6000</v>
      </c>
      <c r="R13" t="s">
        <v>294</v>
      </c>
      <c r="S13" s="16">
        <v>45529</v>
      </c>
      <c r="T13" s="16">
        <v>45550</v>
      </c>
      <c r="U13" s="16">
        <v>45552</v>
      </c>
      <c r="V13">
        <f>misuo[[#This Row],[ميعاد التسليم]]-misuo[[#This Row],[ميعاد الطلب]]</f>
        <v>21</v>
      </c>
      <c r="W13">
        <f>misuo[[#This Row],[تاريخ التسليم]]-misuo[[#This Row],[ميعاد الطلب]]</f>
        <v>23</v>
      </c>
      <c r="X13">
        <f>misuo[[#This Row],[مدة التسليم الفعلية]]-misuo[[#This Row],[مدة التسليم المتوقعة]]</f>
        <v>2</v>
      </c>
      <c r="Y13" t="s">
        <v>173</v>
      </c>
      <c r="Z13" t="s">
        <v>172</v>
      </c>
    </row>
    <row r="14" spans="1:26" ht="20.100000000000001" customHeight="1" x14ac:dyDescent="0.2">
      <c r="A14"/>
      <c r="B14"/>
      <c r="C14" t="s">
        <v>38</v>
      </c>
      <c r="D1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4">
        <f>IF(COUNTIFS($C$2:C14, C14, $D$2:D14, D14)=1, 1, 0)</f>
        <v>1</v>
      </c>
      <c r="F14" t="s">
        <v>39</v>
      </c>
      <c r="G14" t="s">
        <v>303</v>
      </c>
      <c r="H14" t="s">
        <v>6</v>
      </c>
      <c r="I14" t="s">
        <v>136</v>
      </c>
      <c r="J14" t="s">
        <v>148</v>
      </c>
      <c r="K14" t="s">
        <v>138</v>
      </c>
      <c r="L14">
        <v>80</v>
      </c>
      <c r="M14" t="s">
        <v>150</v>
      </c>
      <c r="N14"/>
      <c r="O14">
        <v>1</v>
      </c>
      <c r="P14" t="s">
        <v>40</v>
      </c>
      <c r="Q14">
        <v>10499</v>
      </c>
      <c r="R14" t="s">
        <v>294</v>
      </c>
      <c r="S14" s="16">
        <v>45536</v>
      </c>
      <c r="T14" s="16">
        <v>45551</v>
      </c>
      <c r="U14" s="16">
        <v>45543</v>
      </c>
      <c r="V14">
        <f>misuo[[#This Row],[ميعاد التسليم]]-misuo[[#This Row],[ميعاد الطلب]]</f>
        <v>15</v>
      </c>
      <c r="W14">
        <f>misuo[[#This Row],[تاريخ التسليم]]-misuo[[#This Row],[ميعاد الطلب]]</f>
        <v>7</v>
      </c>
      <c r="X14">
        <f>misuo[[#This Row],[مدة التسليم الفعلية]]-misuo[[#This Row],[مدة التسليم المتوقعة]]</f>
        <v>-8</v>
      </c>
      <c r="Y14" t="s">
        <v>22</v>
      </c>
      <c r="Z14" t="s">
        <v>172</v>
      </c>
    </row>
    <row r="15" spans="1:26" ht="20.100000000000001" customHeight="1" x14ac:dyDescent="0.2">
      <c r="A15">
        <v>1404561</v>
      </c>
      <c r="B15">
        <v>1199284</v>
      </c>
      <c r="C15" t="s">
        <v>55</v>
      </c>
      <c r="D1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5">
        <f>IF(COUNTIFS($C$2:C15, C15, $D$2:D15, D15)=1, 1, 0)</f>
        <v>1</v>
      </c>
      <c r="F15" t="s">
        <v>30</v>
      </c>
      <c r="G15" t="s">
        <v>299</v>
      </c>
      <c r="H15" t="s">
        <v>6</v>
      </c>
      <c r="I15" t="s">
        <v>136</v>
      </c>
      <c r="J15" t="s">
        <v>139</v>
      </c>
      <c r="K15" t="s">
        <v>138</v>
      </c>
      <c r="L15">
        <v>80</v>
      </c>
      <c r="M15" t="s">
        <v>150</v>
      </c>
      <c r="N15"/>
      <c r="O15">
        <v>1</v>
      </c>
      <c r="P15" t="s">
        <v>56</v>
      </c>
      <c r="Q15">
        <v>7295</v>
      </c>
      <c r="R15" t="s">
        <v>294</v>
      </c>
      <c r="S15" s="16">
        <v>45540</v>
      </c>
      <c r="T15" s="16">
        <v>45549</v>
      </c>
      <c r="U15" s="16"/>
      <c r="V15">
        <f>misuo[[#This Row],[ميعاد التسليم]]-misuo[[#This Row],[ميعاد الطلب]]</f>
        <v>9</v>
      </c>
      <c r="W15"/>
      <c r="X15">
        <f>misuo[[#This Row],[مدة التسليم الفعلية]]-misuo[[#This Row],[مدة التسليم المتوقعة]]</f>
        <v>-9</v>
      </c>
      <c r="Y15"/>
      <c r="Z15" t="s">
        <v>326</v>
      </c>
    </row>
    <row r="16" spans="1:26" ht="20.100000000000001" customHeight="1" x14ac:dyDescent="0.2">
      <c r="A16">
        <v>1401137</v>
      </c>
      <c r="B16">
        <v>1197500</v>
      </c>
      <c r="C16" t="s">
        <v>51</v>
      </c>
      <c r="D1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6">
        <f>IF(COUNTIFS($C$2:C16, C16, $D$2:D16, D16)=1, 1, 0)</f>
        <v>1</v>
      </c>
      <c r="F16" t="s">
        <v>52</v>
      </c>
      <c r="G16" t="s">
        <v>303</v>
      </c>
      <c r="H16" t="s">
        <v>6</v>
      </c>
      <c r="I16" t="s">
        <v>250</v>
      </c>
      <c r="J16" t="s">
        <v>264</v>
      </c>
      <c r="K16"/>
      <c r="L16"/>
      <c r="M16"/>
      <c r="N16"/>
      <c r="O16">
        <v>1</v>
      </c>
      <c r="P16" t="s">
        <v>53</v>
      </c>
      <c r="Q16">
        <v>7849</v>
      </c>
      <c r="R16" t="s">
        <v>12</v>
      </c>
      <c r="S16" s="16">
        <v>45539</v>
      </c>
      <c r="T16" s="16">
        <v>45551</v>
      </c>
      <c r="U16" s="16">
        <v>45560</v>
      </c>
      <c r="V16">
        <f>misuo[[#This Row],[ميعاد التسليم]]-misuo[[#This Row],[ميعاد الطلب]]</f>
        <v>12</v>
      </c>
      <c r="W16">
        <f>misuo[[#This Row],[تاريخ التسليم]]-misuo[[#This Row],[ميعاد الطلب]]</f>
        <v>21</v>
      </c>
      <c r="X16">
        <f>misuo[[#This Row],[مدة التسليم الفعلية]]-misuo[[#This Row],[مدة التسليم المتوقعة]]</f>
        <v>9</v>
      </c>
      <c r="Y16" t="s">
        <v>22</v>
      </c>
      <c r="Z16" t="s">
        <v>181</v>
      </c>
    </row>
    <row r="17" spans="1:26" ht="20.100000000000001" customHeight="1" x14ac:dyDescent="0.2">
      <c r="A17"/>
      <c r="B17"/>
      <c r="C17" t="s">
        <v>44</v>
      </c>
      <c r="D17"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7">
        <f>IF(COUNTIFS($C$2:C17, C17, $D$2:D17, D17)=1, 1, 0)</f>
        <v>1</v>
      </c>
      <c r="F17" t="s">
        <v>45</v>
      </c>
      <c r="G17" t="s">
        <v>303</v>
      </c>
      <c r="H17" t="s">
        <v>46</v>
      </c>
      <c r="I17" t="s">
        <v>136</v>
      </c>
      <c r="J17" t="s">
        <v>148</v>
      </c>
      <c r="K17" t="s">
        <v>141</v>
      </c>
      <c r="L17">
        <v>120</v>
      </c>
      <c r="M17" t="s">
        <v>151</v>
      </c>
      <c r="N17"/>
      <c r="O17">
        <v>2</v>
      </c>
      <c r="P17" t="s">
        <v>47</v>
      </c>
      <c r="Q17">
        <v>6180</v>
      </c>
      <c r="R17" t="s">
        <v>294</v>
      </c>
      <c r="S17" s="16">
        <v>45538</v>
      </c>
      <c r="T17" s="16">
        <v>45551</v>
      </c>
      <c r="U17" s="16">
        <v>45550</v>
      </c>
      <c r="V17">
        <f>misuo[[#This Row],[ميعاد التسليم]]-misuo[[#This Row],[ميعاد الطلب]]</f>
        <v>13</v>
      </c>
      <c r="W17">
        <f>misuo[[#This Row],[تاريخ التسليم]]-misuo[[#This Row],[ميعاد الطلب]]</f>
        <v>12</v>
      </c>
      <c r="X17">
        <f>misuo[[#This Row],[مدة التسليم الفعلية]]-misuo[[#This Row],[مدة التسليم المتوقعة]]</f>
        <v>-1</v>
      </c>
      <c r="Y17" t="s">
        <v>173</v>
      </c>
      <c r="Z17" t="s">
        <v>172</v>
      </c>
    </row>
    <row r="18" spans="1:26" ht="20.100000000000001" customHeight="1" x14ac:dyDescent="0.2">
      <c r="A18"/>
      <c r="B18"/>
      <c r="C18" t="s">
        <v>44</v>
      </c>
      <c r="D18"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8">
        <f>IF(COUNTIFS($C$2:C18, C18, $D$2:D18, D18)=1, 1, 0)</f>
        <v>0</v>
      </c>
      <c r="F18" t="s">
        <v>45</v>
      </c>
      <c r="G18" t="s">
        <v>303</v>
      </c>
      <c r="H18" t="s">
        <v>46</v>
      </c>
      <c r="I18" t="s">
        <v>136</v>
      </c>
      <c r="J18" t="s">
        <v>148</v>
      </c>
      <c r="K18" t="s">
        <v>141</v>
      </c>
      <c r="L18">
        <v>120</v>
      </c>
      <c r="M18" t="s">
        <v>151</v>
      </c>
      <c r="N18"/>
      <c r="O18">
        <v>2</v>
      </c>
      <c r="P18" t="s">
        <v>47</v>
      </c>
      <c r="Q18">
        <v>6180</v>
      </c>
      <c r="R18" t="s">
        <v>294</v>
      </c>
      <c r="S18" s="16">
        <v>45538</v>
      </c>
      <c r="T18" s="16">
        <v>45551</v>
      </c>
      <c r="U18" s="16">
        <v>45550</v>
      </c>
      <c r="V18">
        <f>misuo[[#This Row],[ميعاد التسليم]]-misuo[[#This Row],[ميعاد الطلب]]</f>
        <v>13</v>
      </c>
      <c r="W18">
        <f>misuo[[#This Row],[تاريخ التسليم]]-misuo[[#This Row],[ميعاد الطلب]]</f>
        <v>12</v>
      </c>
      <c r="X18">
        <f>misuo[[#This Row],[مدة التسليم الفعلية]]-misuo[[#This Row],[مدة التسليم المتوقعة]]</f>
        <v>-1</v>
      </c>
      <c r="Y18" t="s">
        <v>173</v>
      </c>
      <c r="Z18" t="s">
        <v>172</v>
      </c>
    </row>
    <row r="19" spans="1:26" ht="20.100000000000001" customHeight="1" x14ac:dyDescent="0.2">
      <c r="A19">
        <v>1400149</v>
      </c>
      <c r="B19">
        <v>1196947</v>
      </c>
      <c r="C19" t="s">
        <v>48</v>
      </c>
      <c r="D1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9">
        <f>IF(COUNTIFS($C$2:C19, C19, $D$2:D19, D19)=1, 1, 0)</f>
        <v>1</v>
      </c>
      <c r="F19" t="s">
        <v>49</v>
      </c>
      <c r="G19" t="s">
        <v>303</v>
      </c>
      <c r="H19" t="s">
        <v>6</v>
      </c>
      <c r="I19" t="s">
        <v>136</v>
      </c>
      <c r="J19" t="s">
        <v>148</v>
      </c>
      <c r="K19" t="s">
        <v>140</v>
      </c>
      <c r="L19">
        <v>80</v>
      </c>
      <c r="M19" t="s">
        <v>150</v>
      </c>
      <c r="N19"/>
      <c r="O19">
        <v>1</v>
      </c>
      <c r="P19" t="s">
        <v>50</v>
      </c>
      <c r="Q19">
        <v>11199</v>
      </c>
      <c r="R19" t="s">
        <v>294</v>
      </c>
      <c r="S19" s="16">
        <v>45539</v>
      </c>
      <c r="T19" s="16">
        <v>45553</v>
      </c>
      <c r="U19" s="16"/>
      <c r="V19">
        <f>misuo[[#This Row],[ميعاد التسليم]]-misuo[[#This Row],[ميعاد الطلب]]</f>
        <v>14</v>
      </c>
      <c r="W19"/>
      <c r="X19">
        <f>misuo[[#This Row],[مدة التسليم الفعلية]]-misuo[[#This Row],[مدة التسليم المتوقعة]]</f>
        <v>-14</v>
      </c>
      <c r="Y19"/>
      <c r="Z19" t="s">
        <v>326</v>
      </c>
    </row>
    <row r="20" spans="1:26" ht="20.100000000000001" customHeight="1" x14ac:dyDescent="0.2">
      <c r="A20">
        <v>1408099</v>
      </c>
      <c r="B20">
        <v>1201057</v>
      </c>
      <c r="C20" t="s">
        <v>26</v>
      </c>
      <c r="D20"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20">
        <f>IF(COUNTIFS($C$2:C20, C20, $D$2:D20, D20)=1, 1, 0)</f>
        <v>0</v>
      </c>
      <c r="F20" t="s">
        <v>57</v>
      </c>
      <c r="G20" t="s">
        <v>303</v>
      </c>
      <c r="H20" t="s">
        <v>6</v>
      </c>
      <c r="I20" t="s">
        <v>136</v>
      </c>
      <c r="J20" t="s">
        <v>139</v>
      </c>
      <c r="K20" t="s">
        <v>160</v>
      </c>
      <c r="L20">
        <v>80</v>
      </c>
      <c r="M20" t="s">
        <v>150</v>
      </c>
      <c r="N20"/>
      <c r="O20">
        <v>4</v>
      </c>
      <c r="P20" t="s">
        <v>58</v>
      </c>
      <c r="Q20">
        <v>7987</v>
      </c>
      <c r="R20" t="s">
        <v>12</v>
      </c>
      <c r="S20" s="16">
        <v>45541</v>
      </c>
      <c r="T20" s="16">
        <v>45551</v>
      </c>
      <c r="U20" s="16">
        <v>45556</v>
      </c>
      <c r="V20">
        <f>misuo[[#This Row],[ميعاد التسليم]]-misuo[[#This Row],[ميعاد الطلب]]</f>
        <v>10</v>
      </c>
      <c r="W20">
        <f>misuo[[#This Row],[تاريخ التسليم]]-misuo[[#This Row],[ميعاد الطلب]]</f>
        <v>15</v>
      </c>
      <c r="X20">
        <f>misuo[[#This Row],[مدة التسليم الفعلية]]-misuo[[#This Row],[مدة التسليم المتوقعة]]</f>
        <v>5</v>
      </c>
      <c r="Y20" t="s">
        <v>173</v>
      </c>
      <c r="Z20" t="s">
        <v>172</v>
      </c>
    </row>
    <row r="21" spans="1:26" ht="20.100000000000001" customHeight="1" x14ac:dyDescent="0.2">
      <c r="A21"/>
      <c r="B21"/>
      <c r="C21" t="s">
        <v>33</v>
      </c>
      <c r="D21"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21">
        <f>IF(COUNTIFS($C$2:C21, C21, $D$2:D21, D21)=1, 1, 0)</f>
        <v>0</v>
      </c>
      <c r="F21" t="s">
        <v>32</v>
      </c>
      <c r="G21" t="s">
        <v>303</v>
      </c>
      <c r="H21" t="s">
        <v>33</v>
      </c>
      <c r="I21" t="s">
        <v>147</v>
      </c>
      <c r="J21" t="s">
        <v>187</v>
      </c>
      <c r="K21"/>
      <c r="L21"/>
      <c r="M21"/>
      <c r="N21"/>
      <c r="O21">
        <v>2</v>
      </c>
      <c r="P21" t="s">
        <v>54</v>
      </c>
      <c r="Q21">
        <v>9300</v>
      </c>
      <c r="R21" t="s">
        <v>294</v>
      </c>
      <c r="S21" s="16">
        <v>45539</v>
      </c>
      <c r="T21" s="16">
        <v>45550</v>
      </c>
      <c r="U21" s="16">
        <v>45552</v>
      </c>
      <c r="V21">
        <f>misuo[[#This Row],[ميعاد التسليم]]-misuo[[#This Row],[ميعاد الطلب]]</f>
        <v>11</v>
      </c>
      <c r="W21">
        <f>misuo[[#This Row],[تاريخ التسليم]]-misuo[[#This Row],[ميعاد الطلب]]</f>
        <v>13</v>
      </c>
      <c r="X21">
        <f>misuo[[#This Row],[مدة التسليم الفعلية]]-misuo[[#This Row],[مدة التسليم المتوقعة]]</f>
        <v>2</v>
      </c>
      <c r="Y21" t="s">
        <v>173</v>
      </c>
      <c r="Z21" t="s">
        <v>172</v>
      </c>
    </row>
    <row r="22" spans="1:26" ht="20.100000000000001" customHeight="1" x14ac:dyDescent="0.2">
      <c r="A22">
        <v>1408098</v>
      </c>
      <c r="B22">
        <v>1201057</v>
      </c>
      <c r="C22" t="s">
        <v>26</v>
      </c>
      <c r="D22"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22">
        <f>IF(COUNTIFS($C$2:C22, C22, $D$2:D22, D22)=1, 1, 0)</f>
        <v>0</v>
      </c>
      <c r="F22" t="s">
        <v>57</v>
      </c>
      <c r="G22" t="s">
        <v>303</v>
      </c>
      <c r="H22" t="s">
        <v>6</v>
      </c>
      <c r="I22" t="s">
        <v>136</v>
      </c>
      <c r="J22" t="s">
        <v>139</v>
      </c>
      <c r="K22" t="s">
        <v>160</v>
      </c>
      <c r="L22">
        <v>80</v>
      </c>
      <c r="M22" t="s">
        <v>150</v>
      </c>
      <c r="N22"/>
      <c r="O22">
        <v>4</v>
      </c>
      <c r="P22" t="s">
        <v>58</v>
      </c>
      <c r="Q22">
        <v>7987</v>
      </c>
      <c r="R22" t="s">
        <v>12</v>
      </c>
      <c r="S22" s="16">
        <v>45541</v>
      </c>
      <c r="T22" s="16">
        <v>45551</v>
      </c>
      <c r="U22" s="16">
        <v>45556</v>
      </c>
      <c r="V22">
        <f>misuo[[#This Row],[ميعاد التسليم]]-misuo[[#This Row],[ميعاد الطلب]]</f>
        <v>10</v>
      </c>
      <c r="W22">
        <f>misuo[[#This Row],[تاريخ التسليم]]-misuo[[#This Row],[ميعاد الطلب]]</f>
        <v>15</v>
      </c>
      <c r="X22">
        <f>misuo[[#This Row],[مدة التسليم الفعلية]]-misuo[[#This Row],[مدة التسليم المتوقعة]]</f>
        <v>5</v>
      </c>
      <c r="Y22" t="s">
        <v>173</v>
      </c>
      <c r="Z22" t="s">
        <v>172</v>
      </c>
    </row>
    <row r="23" spans="1:26" ht="20.100000000000001" customHeight="1" x14ac:dyDescent="0.2">
      <c r="A23">
        <v>1408100</v>
      </c>
      <c r="B23">
        <v>1201057</v>
      </c>
      <c r="C23" t="s">
        <v>26</v>
      </c>
      <c r="D2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23">
        <f>IF(COUNTIFS($C$2:C23, C23, $D$2:D23, D23)=1, 1, 0)</f>
        <v>0</v>
      </c>
      <c r="F23" t="s">
        <v>57</v>
      </c>
      <c r="G23" t="s">
        <v>303</v>
      </c>
      <c r="H23" t="s">
        <v>6</v>
      </c>
      <c r="I23" t="s">
        <v>136</v>
      </c>
      <c r="J23" t="s">
        <v>139</v>
      </c>
      <c r="K23" t="s">
        <v>160</v>
      </c>
      <c r="L23">
        <v>80</v>
      </c>
      <c r="M23" t="s">
        <v>150</v>
      </c>
      <c r="N23"/>
      <c r="O23">
        <v>4</v>
      </c>
      <c r="P23" t="s">
        <v>58</v>
      </c>
      <c r="Q23">
        <v>7987</v>
      </c>
      <c r="R23" t="s">
        <v>12</v>
      </c>
      <c r="S23" s="16">
        <v>45541</v>
      </c>
      <c r="T23" s="16">
        <v>45551</v>
      </c>
      <c r="U23" s="16">
        <v>45556</v>
      </c>
      <c r="V23">
        <f>misuo[[#This Row],[ميعاد التسليم]]-misuo[[#This Row],[ميعاد الطلب]]</f>
        <v>10</v>
      </c>
      <c r="W23">
        <f>misuo[[#This Row],[تاريخ التسليم]]-misuo[[#This Row],[ميعاد الطلب]]</f>
        <v>15</v>
      </c>
      <c r="X23">
        <f>misuo[[#This Row],[مدة التسليم الفعلية]]-misuo[[#This Row],[مدة التسليم المتوقعة]]</f>
        <v>5</v>
      </c>
      <c r="Y23" t="s">
        <v>173</v>
      </c>
      <c r="Z23" t="s">
        <v>172</v>
      </c>
    </row>
    <row r="24" spans="1:26" ht="20.100000000000001" customHeight="1" x14ac:dyDescent="0.2">
      <c r="A24">
        <v>1408101</v>
      </c>
      <c r="B24">
        <v>1201057</v>
      </c>
      <c r="C24" t="s">
        <v>26</v>
      </c>
      <c r="D2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24">
        <f>IF(COUNTIFS($C$2:C24, C24, $D$2:D24, D24)=1, 1, 0)</f>
        <v>0</v>
      </c>
      <c r="F24" t="s">
        <v>57</v>
      </c>
      <c r="G24" t="s">
        <v>303</v>
      </c>
      <c r="H24" t="s">
        <v>6</v>
      </c>
      <c r="I24" t="s">
        <v>136</v>
      </c>
      <c r="J24" t="s">
        <v>139</v>
      </c>
      <c r="K24" t="s">
        <v>160</v>
      </c>
      <c r="L24">
        <v>80</v>
      </c>
      <c r="M24" t="s">
        <v>150</v>
      </c>
      <c r="N24"/>
      <c r="O24">
        <v>4</v>
      </c>
      <c r="P24" t="s">
        <v>58</v>
      </c>
      <c r="Q24">
        <v>7987</v>
      </c>
      <c r="R24" t="s">
        <v>12</v>
      </c>
      <c r="S24" s="16">
        <v>45541</v>
      </c>
      <c r="T24" s="16">
        <v>45551</v>
      </c>
      <c r="U24" s="16">
        <v>45556</v>
      </c>
      <c r="V24">
        <f>misuo[[#This Row],[ميعاد التسليم]]-misuo[[#This Row],[ميعاد الطلب]]</f>
        <v>10</v>
      </c>
      <c r="W24">
        <f>misuo[[#This Row],[تاريخ التسليم]]-misuo[[#This Row],[ميعاد الطلب]]</f>
        <v>15</v>
      </c>
      <c r="X24">
        <f>misuo[[#This Row],[مدة التسليم الفعلية]]-misuo[[#This Row],[مدة التسليم المتوقعة]]</f>
        <v>5</v>
      </c>
      <c r="Y24" t="s">
        <v>173</v>
      </c>
      <c r="Z24" t="s">
        <v>172</v>
      </c>
    </row>
    <row r="25" spans="1:26" ht="20.100000000000001" customHeight="1" x14ac:dyDescent="0.2">
      <c r="A25">
        <v>1513856</v>
      </c>
      <c r="B25">
        <v>1231946</v>
      </c>
      <c r="C25" t="s">
        <v>95</v>
      </c>
      <c r="D2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25">
        <f>IF(COUNTIFS($C$2:C25, C25, $D$2:D25, D25)=1, 1, 0)</f>
        <v>1</v>
      </c>
      <c r="F25" t="s">
        <v>96</v>
      </c>
      <c r="G25" t="s">
        <v>303</v>
      </c>
      <c r="H25" t="s">
        <v>6</v>
      </c>
      <c r="I25" t="s">
        <v>250</v>
      </c>
      <c r="J25" t="s">
        <v>264</v>
      </c>
      <c r="K25"/>
      <c r="L25"/>
      <c r="M25"/>
      <c r="N25"/>
      <c r="O25">
        <v>1</v>
      </c>
      <c r="P25" t="s">
        <v>53</v>
      </c>
      <c r="Q25">
        <v>8849</v>
      </c>
      <c r="R25" t="s">
        <v>12</v>
      </c>
      <c r="S25" s="16">
        <v>45538</v>
      </c>
      <c r="T25" s="16">
        <v>45581</v>
      </c>
      <c r="U25" s="16"/>
      <c r="V25">
        <f>misuo[[#This Row],[ميعاد التسليم]]-misuo[[#This Row],[ميعاد الطلب]]</f>
        <v>43</v>
      </c>
      <c r="W25"/>
      <c r="X25">
        <f>misuo[[#This Row],[مدة التسليم الفعلية]]-misuo[[#This Row],[مدة التسليم المتوقعة]]</f>
        <v>-43</v>
      </c>
      <c r="Y25"/>
      <c r="Z25" t="s">
        <v>326</v>
      </c>
    </row>
    <row r="26" spans="1:26" ht="20.100000000000001" customHeight="1" x14ac:dyDescent="0.2">
      <c r="A26">
        <v>1411691</v>
      </c>
      <c r="B26">
        <v>1202775</v>
      </c>
      <c r="C26" t="s">
        <v>59</v>
      </c>
      <c r="D2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26">
        <f>IF(COUNTIFS($C$2:C26, C26, $D$2:D26, D26)=1, 1, 0)</f>
        <v>1</v>
      </c>
      <c r="F26" t="s">
        <v>30</v>
      </c>
      <c r="G26" t="s">
        <v>299</v>
      </c>
      <c r="H26" t="s">
        <v>6</v>
      </c>
      <c r="I26" t="s">
        <v>136</v>
      </c>
      <c r="J26" t="s">
        <v>139</v>
      </c>
      <c r="K26" t="s">
        <v>142</v>
      </c>
      <c r="L26">
        <v>120</v>
      </c>
      <c r="M26" t="s">
        <v>150</v>
      </c>
      <c r="N26"/>
      <c r="O26">
        <v>1</v>
      </c>
      <c r="P26" t="s">
        <v>60</v>
      </c>
      <c r="Q26">
        <v>10987</v>
      </c>
      <c r="R26" t="s">
        <v>12</v>
      </c>
      <c r="S26" s="16">
        <v>45544</v>
      </c>
      <c r="T26" s="16">
        <v>45552</v>
      </c>
      <c r="U26" s="16">
        <v>45556</v>
      </c>
      <c r="V26">
        <f>misuo[[#This Row],[ميعاد التسليم]]-misuo[[#This Row],[ميعاد الطلب]]</f>
        <v>8</v>
      </c>
      <c r="W26">
        <f>misuo[[#This Row],[تاريخ التسليم]]-misuo[[#This Row],[ميعاد الطلب]]</f>
        <v>12</v>
      </c>
      <c r="X26">
        <f>misuo[[#This Row],[مدة التسليم الفعلية]]-misuo[[#This Row],[مدة التسليم المتوقعة]]</f>
        <v>4</v>
      </c>
      <c r="Y26" t="s">
        <v>173</v>
      </c>
      <c r="Z26" t="s">
        <v>172</v>
      </c>
    </row>
    <row r="27" spans="1:26" ht="20.100000000000001" customHeight="1" x14ac:dyDescent="0.2">
      <c r="A27"/>
      <c r="B27"/>
      <c r="C27" t="s">
        <v>42</v>
      </c>
      <c r="D27"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27">
        <f>IF(COUNTIFS($C$2:C27, C27, $D$2:D27, D27)=1, 1, 0)</f>
        <v>0</v>
      </c>
      <c r="F27"/>
      <c r="G27"/>
      <c r="H27" t="s">
        <v>42</v>
      </c>
      <c r="I27" t="s">
        <v>136</v>
      </c>
      <c r="J27" t="s">
        <v>148</v>
      </c>
      <c r="K27" t="s">
        <v>140</v>
      </c>
      <c r="L27">
        <v>100</v>
      </c>
      <c r="M27" t="s">
        <v>150</v>
      </c>
      <c r="N27"/>
      <c r="O27">
        <v>1</v>
      </c>
      <c r="P27" t="s">
        <v>41</v>
      </c>
      <c r="Q27">
        <v>9208</v>
      </c>
      <c r="R27" t="s">
        <v>294</v>
      </c>
      <c r="S27" s="16">
        <v>45536</v>
      </c>
      <c r="T27" s="16">
        <v>45554</v>
      </c>
      <c r="U27" s="16">
        <v>45556</v>
      </c>
      <c r="V27">
        <f>misuo[[#This Row],[ميعاد التسليم]]-misuo[[#This Row],[ميعاد الطلب]]</f>
        <v>18</v>
      </c>
      <c r="W27">
        <f>misuo[[#This Row],[تاريخ التسليم]]-misuo[[#This Row],[ميعاد الطلب]]</f>
        <v>20</v>
      </c>
      <c r="X27">
        <f>misuo[[#This Row],[مدة التسليم الفعلية]]-misuo[[#This Row],[مدة التسليم المتوقعة]]</f>
        <v>2</v>
      </c>
      <c r="Y27" t="s">
        <v>173</v>
      </c>
      <c r="Z27" t="s">
        <v>172</v>
      </c>
    </row>
    <row r="28" spans="1:26" ht="20.100000000000001" customHeight="1" x14ac:dyDescent="0.2">
      <c r="A28"/>
      <c r="B28"/>
      <c r="C28" t="s">
        <v>42</v>
      </c>
      <c r="D28"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28">
        <f>IF(COUNTIFS($C$2:C28, C28, $D$2:D28, D28)=1, 1, 0)</f>
        <v>0</v>
      </c>
      <c r="F28"/>
      <c r="G28"/>
      <c r="H28" t="s">
        <v>42</v>
      </c>
      <c r="I28" t="s">
        <v>136</v>
      </c>
      <c r="J28" t="s">
        <v>148</v>
      </c>
      <c r="K28" t="s">
        <v>140</v>
      </c>
      <c r="L28">
        <v>100</v>
      </c>
      <c r="M28" t="s">
        <v>151</v>
      </c>
      <c r="N28"/>
      <c r="O28">
        <v>1</v>
      </c>
      <c r="P28" t="s">
        <v>43</v>
      </c>
      <c r="Q28">
        <v>9208</v>
      </c>
      <c r="R28" t="s">
        <v>294</v>
      </c>
      <c r="S28" s="16">
        <v>45536</v>
      </c>
      <c r="T28" s="16">
        <v>45554</v>
      </c>
      <c r="U28" s="16">
        <v>45556</v>
      </c>
      <c r="V28">
        <f>misuo[[#This Row],[ميعاد التسليم]]-misuo[[#This Row],[ميعاد الطلب]]</f>
        <v>18</v>
      </c>
      <c r="W28">
        <f>misuo[[#This Row],[تاريخ التسليم]]-misuo[[#This Row],[ميعاد الطلب]]</f>
        <v>20</v>
      </c>
      <c r="X28">
        <f>misuo[[#This Row],[مدة التسليم الفعلية]]-misuo[[#This Row],[مدة التسليم المتوقعة]]</f>
        <v>2</v>
      </c>
      <c r="Y28" t="s">
        <v>173</v>
      </c>
      <c r="Z28" t="s">
        <v>172</v>
      </c>
    </row>
    <row r="29" spans="1:26" ht="20.100000000000001" customHeight="1" x14ac:dyDescent="0.2">
      <c r="A29"/>
      <c r="B29"/>
      <c r="C29" t="s">
        <v>72</v>
      </c>
      <c r="D29"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29">
        <f>IF(COUNTIFS($C$2:C29, C29, $D$2:D29, D29)=1, 1, 0)</f>
        <v>1</v>
      </c>
      <c r="F29" t="s">
        <v>73</v>
      </c>
      <c r="G29" t="s">
        <v>304</v>
      </c>
      <c r="H29" t="s">
        <v>46</v>
      </c>
      <c r="I29" t="s">
        <v>136</v>
      </c>
      <c r="J29" t="s">
        <v>139</v>
      </c>
      <c r="K29" t="s">
        <v>160</v>
      </c>
      <c r="L29">
        <v>120</v>
      </c>
      <c r="M29" t="s">
        <v>150</v>
      </c>
      <c r="N29"/>
      <c r="O29">
        <v>2</v>
      </c>
      <c r="P29" t="s">
        <v>76</v>
      </c>
      <c r="Q29">
        <v>4020</v>
      </c>
      <c r="R29" t="s">
        <v>74</v>
      </c>
      <c r="S29" s="16">
        <v>45547</v>
      </c>
      <c r="T29" s="16">
        <v>45556</v>
      </c>
      <c r="U29" s="16">
        <v>45557</v>
      </c>
      <c r="V29">
        <f>misuo[[#This Row],[ميعاد التسليم]]-misuo[[#This Row],[ميعاد الطلب]]</f>
        <v>9</v>
      </c>
      <c r="W29">
        <f>misuo[[#This Row],[تاريخ التسليم]]-misuo[[#This Row],[ميعاد الطلب]]</f>
        <v>10</v>
      </c>
      <c r="X29">
        <f>misuo[[#This Row],[مدة التسليم الفعلية]]-misuo[[#This Row],[مدة التسليم المتوقعة]]</f>
        <v>1</v>
      </c>
      <c r="Y29" t="s">
        <v>173</v>
      </c>
      <c r="Z29" t="s">
        <v>172</v>
      </c>
    </row>
    <row r="30" spans="1:26" ht="20.100000000000001" customHeight="1" x14ac:dyDescent="0.2">
      <c r="A30"/>
      <c r="B30"/>
      <c r="C30" t="s">
        <v>72</v>
      </c>
      <c r="D30"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30">
        <f>IF(COUNTIFS($C$2:C30, C30, $D$2:D30, D30)=1, 1, 0)</f>
        <v>0</v>
      </c>
      <c r="F30" t="s">
        <v>73</v>
      </c>
      <c r="G30" t="s">
        <v>304</v>
      </c>
      <c r="H30" t="s">
        <v>46</v>
      </c>
      <c r="I30" t="s">
        <v>136</v>
      </c>
      <c r="J30" t="s">
        <v>139</v>
      </c>
      <c r="K30" t="s">
        <v>160</v>
      </c>
      <c r="L30">
        <v>120</v>
      </c>
      <c r="M30" t="s">
        <v>150</v>
      </c>
      <c r="N30"/>
      <c r="O30">
        <v>2</v>
      </c>
      <c r="P30" t="s">
        <v>76</v>
      </c>
      <c r="Q30">
        <v>4020</v>
      </c>
      <c r="R30" t="s">
        <v>74</v>
      </c>
      <c r="S30" s="16">
        <v>45547</v>
      </c>
      <c r="T30" s="16">
        <v>45556</v>
      </c>
      <c r="U30" s="16">
        <v>45557</v>
      </c>
      <c r="V30">
        <f>misuo[[#This Row],[ميعاد التسليم]]-misuo[[#This Row],[ميعاد الطلب]]</f>
        <v>9</v>
      </c>
      <c r="W30">
        <f>misuo[[#This Row],[تاريخ التسليم]]-misuo[[#This Row],[ميعاد الطلب]]</f>
        <v>10</v>
      </c>
      <c r="X30">
        <f>misuo[[#This Row],[مدة التسليم الفعلية]]-misuo[[#This Row],[مدة التسليم المتوقعة]]</f>
        <v>1</v>
      </c>
      <c r="Y30" t="s">
        <v>173</v>
      </c>
      <c r="Z30" t="s">
        <v>172</v>
      </c>
    </row>
    <row r="31" spans="1:26" ht="20.100000000000001" customHeight="1" x14ac:dyDescent="0.2">
      <c r="A31"/>
      <c r="B31"/>
      <c r="C31" t="s">
        <v>72</v>
      </c>
      <c r="D31"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31">
        <f>IF(COUNTIFS($C$2:C31, C31, $D$2:D31, D31)=1, 1, 0)</f>
        <v>0</v>
      </c>
      <c r="F31" t="s">
        <v>73</v>
      </c>
      <c r="G31" t="s">
        <v>304</v>
      </c>
      <c r="H31" t="s">
        <v>46</v>
      </c>
      <c r="I31" t="s">
        <v>136</v>
      </c>
      <c r="J31" t="s">
        <v>139</v>
      </c>
      <c r="K31" t="s">
        <v>152</v>
      </c>
      <c r="L31">
        <v>120</v>
      </c>
      <c r="M31" t="s">
        <v>151</v>
      </c>
      <c r="N31"/>
      <c r="O31">
        <v>2</v>
      </c>
      <c r="P31" t="s">
        <v>75</v>
      </c>
      <c r="Q31">
        <v>4020</v>
      </c>
      <c r="R31" t="s">
        <v>12</v>
      </c>
      <c r="S31" s="16">
        <v>45547</v>
      </c>
      <c r="T31" s="16">
        <v>45556</v>
      </c>
      <c r="U31" s="16">
        <v>45557</v>
      </c>
      <c r="V31">
        <f>misuo[[#This Row],[ميعاد التسليم]]-misuo[[#This Row],[ميعاد الطلب]]</f>
        <v>9</v>
      </c>
      <c r="W31">
        <f>misuo[[#This Row],[تاريخ التسليم]]-misuo[[#This Row],[ميعاد الطلب]]</f>
        <v>10</v>
      </c>
      <c r="X31">
        <f>misuo[[#This Row],[مدة التسليم الفعلية]]-misuo[[#This Row],[مدة التسليم المتوقعة]]</f>
        <v>1</v>
      </c>
      <c r="Y31" t="s">
        <v>173</v>
      </c>
      <c r="Z31" t="s">
        <v>172</v>
      </c>
    </row>
    <row r="32" spans="1:26" ht="20.100000000000001" customHeight="1" x14ac:dyDescent="0.2">
      <c r="A32"/>
      <c r="B32"/>
      <c r="C32" t="s">
        <v>72</v>
      </c>
      <c r="D32"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32">
        <f>IF(COUNTIFS($C$2:C32, C32, $D$2:D32, D32)=1, 1, 0)</f>
        <v>0</v>
      </c>
      <c r="F32" t="s">
        <v>73</v>
      </c>
      <c r="G32" t="s">
        <v>304</v>
      </c>
      <c r="H32" t="s">
        <v>46</v>
      </c>
      <c r="I32" t="s">
        <v>136</v>
      </c>
      <c r="J32" t="s">
        <v>139</v>
      </c>
      <c r="K32" t="s">
        <v>152</v>
      </c>
      <c r="L32">
        <v>120</v>
      </c>
      <c r="M32" t="s">
        <v>151</v>
      </c>
      <c r="N32"/>
      <c r="O32">
        <v>2</v>
      </c>
      <c r="P32" t="s">
        <v>75</v>
      </c>
      <c r="Q32">
        <v>4020</v>
      </c>
      <c r="R32" t="s">
        <v>12</v>
      </c>
      <c r="S32" s="16">
        <v>45547</v>
      </c>
      <c r="T32" s="16">
        <v>45556</v>
      </c>
      <c r="U32" s="16">
        <v>45557</v>
      </c>
      <c r="V32">
        <f>misuo[[#This Row],[ميعاد التسليم]]-misuo[[#This Row],[ميعاد الطلب]]</f>
        <v>9</v>
      </c>
      <c r="W32">
        <f>misuo[[#This Row],[تاريخ التسليم]]-misuo[[#This Row],[ميعاد الطلب]]</f>
        <v>10</v>
      </c>
      <c r="X32">
        <f>misuo[[#This Row],[مدة التسليم الفعلية]]-misuo[[#This Row],[مدة التسليم المتوقعة]]</f>
        <v>1</v>
      </c>
      <c r="Y32" t="s">
        <v>173</v>
      </c>
      <c r="Z32" t="s">
        <v>172</v>
      </c>
    </row>
    <row r="33" spans="1:26" ht="20.100000000000001" customHeight="1" x14ac:dyDescent="0.2">
      <c r="A33">
        <v>1509211</v>
      </c>
      <c r="B33">
        <v>1230837</v>
      </c>
      <c r="C33" t="s">
        <v>130</v>
      </c>
      <c r="D3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33">
        <f>IF(COUNTIFS($C$2:C33, C33, $D$2:D33, D33)=1, 1, 0)</f>
        <v>1</v>
      </c>
      <c r="F33" t="s">
        <v>131</v>
      </c>
      <c r="G33" t="s">
        <v>184</v>
      </c>
      <c r="H33" t="s">
        <v>6</v>
      </c>
      <c r="I33" t="s">
        <v>136</v>
      </c>
      <c r="J33" t="s">
        <v>137</v>
      </c>
      <c r="K33"/>
      <c r="L33"/>
      <c r="M33" t="s">
        <v>151</v>
      </c>
      <c r="N33" t="s">
        <v>151</v>
      </c>
      <c r="O33">
        <v>1</v>
      </c>
      <c r="P33" t="s">
        <v>132</v>
      </c>
      <c r="Q33">
        <v>9399</v>
      </c>
      <c r="R33" t="s">
        <v>12</v>
      </c>
      <c r="S33" s="16">
        <f>DATE(2024,9,14)</f>
        <v>45549</v>
      </c>
      <c r="T33" s="16">
        <v>45557</v>
      </c>
      <c r="U33" s="16"/>
      <c r="V33">
        <f>misuo[[#This Row],[ميعاد التسليم]]-misuo[[#This Row],[ميعاد الطلب]]</f>
        <v>8</v>
      </c>
      <c r="W33"/>
      <c r="X33">
        <f>misuo[[#This Row],[مدة التسليم الفعلية]]-misuo[[#This Row],[مدة التسليم المتوقعة]]</f>
        <v>-8</v>
      </c>
      <c r="Y33" t="s">
        <v>28</v>
      </c>
      <c r="Z33" t="s">
        <v>326</v>
      </c>
    </row>
    <row r="34" spans="1:26" ht="20.100000000000001" customHeight="1" x14ac:dyDescent="0.2">
      <c r="A34">
        <v>1536687</v>
      </c>
      <c r="B34">
        <v>1237682</v>
      </c>
      <c r="C34" t="s">
        <v>133</v>
      </c>
      <c r="D3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34">
        <f>IF(COUNTIFS($C$2:C34, C34, $D$2:D34, D34)=1, 1, 0)</f>
        <v>1</v>
      </c>
      <c r="F34" t="s">
        <v>134</v>
      </c>
      <c r="G34" t="s">
        <v>300</v>
      </c>
      <c r="H34" t="s">
        <v>6</v>
      </c>
      <c r="I34" t="s">
        <v>250</v>
      </c>
      <c r="J34" t="s">
        <v>169</v>
      </c>
      <c r="K34"/>
      <c r="L34"/>
      <c r="M34"/>
      <c r="N34"/>
      <c r="O34">
        <v>1</v>
      </c>
      <c r="P34" t="s">
        <v>135</v>
      </c>
      <c r="Q34">
        <v>8349</v>
      </c>
      <c r="R34" t="s">
        <v>12</v>
      </c>
      <c r="S34" s="16">
        <v>45549</v>
      </c>
      <c r="T34" s="16">
        <v>45557</v>
      </c>
      <c r="U34" s="16">
        <v>45559</v>
      </c>
      <c r="V34">
        <f>misuo[[#This Row],[ميعاد التسليم]]-misuo[[#This Row],[ميعاد الطلب]]</f>
        <v>8</v>
      </c>
      <c r="W34">
        <f>misuo[[#This Row],[تاريخ التسليم]]-misuo[[#This Row],[ميعاد الطلب]]</f>
        <v>10</v>
      </c>
      <c r="X34">
        <f>misuo[[#This Row],[مدة التسليم الفعلية]]-misuo[[#This Row],[مدة التسليم المتوقعة]]</f>
        <v>2</v>
      </c>
      <c r="Y34" t="s">
        <v>22</v>
      </c>
      <c r="Z34" t="s">
        <v>172</v>
      </c>
    </row>
    <row r="35" spans="1:26" ht="20.100000000000001" customHeight="1" x14ac:dyDescent="0.2">
      <c r="A35">
        <v>1520537</v>
      </c>
      <c r="B35">
        <v>1233624</v>
      </c>
      <c r="C35" t="s">
        <v>93</v>
      </c>
      <c r="D3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35">
        <f>IF(COUNTIFS($C$2:C35, C35, $D$2:D35, D35)=1, 1, 0)</f>
        <v>1</v>
      </c>
      <c r="F35" t="s">
        <v>30</v>
      </c>
      <c r="G35" t="s">
        <v>299</v>
      </c>
      <c r="H35" t="s">
        <v>6</v>
      </c>
      <c r="I35" t="s">
        <v>136</v>
      </c>
      <c r="J35" t="s">
        <v>137</v>
      </c>
      <c r="K35"/>
      <c r="L35"/>
      <c r="M35" t="s">
        <v>151</v>
      </c>
      <c r="N35" t="s">
        <v>151</v>
      </c>
      <c r="O35">
        <v>1</v>
      </c>
      <c r="P35" t="s">
        <v>94</v>
      </c>
      <c r="Q35">
        <v>9399</v>
      </c>
      <c r="R35" t="s">
        <v>12</v>
      </c>
      <c r="S35" s="16">
        <v>45548</v>
      </c>
      <c r="T35" s="16">
        <v>45559</v>
      </c>
      <c r="U35" s="16">
        <f>DATE(2024,9,30)</f>
        <v>45565</v>
      </c>
      <c r="V35">
        <f>misuo[[#This Row],[ميعاد التسليم]]-misuo[[#This Row],[ميعاد الطلب]]</f>
        <v>11</v>
      </c>
      <c r="W35">
        <f>misuo[[#This Row],[تاريخ التسليم]]-misuo[[#This Row],[ميعاد الطلب]]</f>
        <v>17</v>
      </c>
      <c r="X35">
        <f>misuo[[#This Row],[مدة التسليم الفعلية]]-misuo[[#This Row],[مدة التسليم المتوقعة]]</f>
        <v>6</v>
      </c>
      <c r="Y35" t="s">
        <v>22</v>
      </c>
      <c r="Z35" t="s">
        <v>172</v>
      </c>
    </row>
    <row r="36" spans="1:26" ht="20.100000000000001" customHeight="1" x14ac:dyDescent="0.2">
      <c r="A36">
        <v>1422998</v>
      </c>
      <c r="B36">
        <v>1207350</v>
      </c>
      <c r="C36" t="s">
        <v>61</v>
      </c>
      <c r="D3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36">
        <f>IF(COUNTIFS($C$2:C36, C36, $D$2:D36, D36)=1, 1, 0)</f>
        <v>1</v>
      </c>
      <c r="F36" t="s">
        <v>62</v>
      </c>
      <c r="G36" t="s">
        <v>303</v>
      </c>
      <c r="H36" t="s">
        <v>6</v>
      </c>
      <c r="I36" t="s">
        <v>250</v>
      </c>
      <c r="J36" t="s">
        <v>264</v>
      </c>
      <c r="K36"/>
      <c r="L36"/>
      <c r="M36"/>
      <c r="N36"/>
      <c r="O36">
        <v>1</v>
      </c>
      <c r="P36" t="s">
        <v>53</v>
      </c>
      <c r="Q36">
        <v>7849</v>
      </c>
      <c r="R36" t="s">
        <v>294</v>
      </c>
      <c r="S36" s="16">
        <v>45547</v>
      </c>
      <c r="T36" s="16">
        <v>45561</v>
      </c>
      <c r="U36" s="16"/>
      <c r="V36">
        <f>misuo[[#This Row],[ميعاد التسليم]]-misuo[[#This Row],[ميعاد الطلب]]</f>
        <v>14</v>
      </c>
      <c r="W36"/>
      <c r="X36">
        <f>misuo[[#This Row],[مدة التسليم الفعلية]]-misuo[[#This Row],[مدة التسليم المتوقعة]]</f>
        <v>-14</v>
      </c>
      <c r="Y36" t="s">
        <v>22</v>
      </c>
      <c r="Z36" t="s">
        <v>172</v>
      </c>
    </row>
    <row r="37" spans="1:26" ht="20.100000000000001" customHeight="1" x14ac:dyDescent="0.2">
      <c r="A37"/>
      <c r="B37"/>
      <c r="C37" t="s">
        <v>69</v>
      </c>
      <c r="D37"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37">
        <f>IF(COUNTIFS($C$2:C37, C37, $D$2:D37, D37)=1, 1, 0)</f>
        <v>1</v>
      </c>
      <c r="F37" t="s">
        <v>70</v>
      </c>
      <c r="G37" t="s">
        <v>299</v>
      </c>
      <c r="H37" t="s">
        <v>241</v>
      </c>
      <c r="I37" t="s">
        <v>136</v>
      </c>
      <c r="J37" t="s">
        <v>154</v>
      </c>
      <c r="K37" t="s">
        <v>141</v>
      </c>
      <c r="L37">
        <v>100</v>
      </c>
      <c r="M37" t="s">
        <v>151</v>
      </c>
      <c r="N37"/>
      <c r="O37">
        <v>1</v>
      </c>
      <c r="P37" t="s">
        <v>71</v>
      </c>
      <c r="Q37">
        <v>9450</v>
      </c>
      <c r="R37" t="s">
        <v>294</v>
      </c>
      <c r="S37" s="16">
        <v>45547</v>
      </c>
      <c r="T37" s="16">
        <v>45561</v>
      </c>
      <c r="U37" s="16"/>
      <c r="V37">
        <f>misuo[[#This Row],[ميعاد التسليم]]-misuo[[#This Row],[ميعاد الطلب]]</f>
        <v>14</v>
      </c>
      <c r="W37"/>
      <c r="X37">
        <f>misuo[[#This Row],[مدة التسليم الفعلية]]-misuo[[#This Row],[مدة التسليم المتوقعة]]</f>
        <v>-14</v>
      </c>
      <c r="Y37"/>
      <c r="Z37" t="s">
        <v>326</v>
      </c>
    </row>
    <row r="38" spans="1:26" ht="20.100000000000001" customHeight="1" x14ac:dyDescent="0.2">
      <c r="A38">
        <v>1459790</v>
      </c>
      <c r="B38">
        <v>1218257</v>
      </c>
      <c r="C38" t="s">
        <v>84</v>
      </c>
      <c r="D38"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38">
        <f>IF(COUNTIFS($C$2:C38, C38, $D$2:D38, D38)=1, 1, 0)</f>
        <v>1</v>
      </c>
      <c r="F38" t="s">
        <v>57</v>
      </c>
      <c r="G38" t="s">
        <v>303</v>
      </c>
      <c r="H38" t="s">
        <v>6</v>
      </c>
      <c r="I38" t="s">
        <v>136</v>
      </c>
      <c r="J38" t="s">
        <v>139</v>
      </c>
      <c r="K38" t="s">
        <v>142</v>
      </c>
      <c r="L38">
        <v>120</v>
      </c>
      <c r="M38" t="s">
        <v>151</v>
      </c>
      <c r="N38"/>
      <c r="O38">
        <v>1</v>
      </c>
      <c r="P38" t="s">
        <v>85</v>
      </c>
      <c r="Q38">
        <v>7460</v>
      </c>
      <c r="R38" t="s">
        <v>12</v>
      </c>
      <c r="S38" s="16">
        <v>45548</v>
      </c>
      <c r="T38" s="16">
        <v>45561</v>
      </c>
      <c r="U38" s="16">
        <v>45568</v>
      </c>
      <c r="V38">
        <f>misuo[[#This Row],[ميعاد التسليم]]-misuo[[#This Row],[ميعاد الطلب]]</f>
        <v>13</v>
      </c>
      <c r="W38">
        <f>misuo[[#This Row],[تاريخ التسليم]]-misuo[[#This Row],[ميعاد الطلب]]</f>
        <v>20</v>
      </c>
      <c r="X38">
        <f>misuo[[#This Row],[مدة التسليم الفعلية]]-misuo[[#This Row],[مدة التسليم المتوقعة]]</f>
        <v>7</v>
      </c>
      <c r="Y38" t="s">
        <v>173</v>
      </c>
      <c r="Z38" t="s">
        <v>172</v>
      </c>
    </row>
    <row r="39" spans="1:26" ht="20.100000000000001" customHeight="1" x14ac:dyDescent="0.2">
      <c r="A39">
        <v>1455486</v>
      </c>
      <c r="B39">
        <v>1217163</v>
      </c>
      <c r="C39" t="s">
        <v>88</v>
      </c>
      <c r="D3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39">
        <f>IF(COUNTIFS($C$2:C39, C39, $D$2:D39, D39)=1, 1, 0)</f>
        <v>1</v>
      </c>
      <c r="F39" t="s">
        <v>57</v>
      </c>
      <c r="G39" t="s">
        <v>303</v>
      </c>
      <c r="H39" t="s">
        <v>6</v>
      </c>
      <c r="I39" t="s">
        <v>136</v>
      </c>
      <c r="J39" t="s">
        <v>139</v>
      </c>
      <c r="K39" t="s">
        <v>161</v>
      </c>
      <c r="L39">
        <v>140</v>
      </c>
      <c r="M39" t="s">
        <v>159</v>
      </c>
      <c r="N39" t="s">
        <v>155</v>
      </c>
      <c r="O39">
        <v>1</v>
      </c>
      <c r="P39" t="s">
        <v>89</v>
      </c>
      <c r="Q39">
        <v>9528</v>
      </c>
      <c r="R39" t="s">
        <v>12</v>
      </c>
      <c r="S39" s="16">
        <v>45548</v>
      </c>
      <c r="T39" s="16">
        <v>45561</v>
      </c>
      <c r="U39" s="16">
        <v>45568</v>
      </c>
      <c r="V39">
        <f>misuo[[#This Row],[ميعاد التسليم]]-misuo[[#This Row],[ميعاد الطلب]]</f>
        <v>13</v>
      </c>
      <c r="W39">
        <f>misuo[[#This Row],[تاريخ التسليم]]-misuo[[#This Row],[ميعاد الطلب]]</f>
        <v>20</v>
      </c>
      <c r="X39">
        <f>misuo[[#This Row],[مدة التسليم الفعلية]]-misuo[[#This Row],[مدة التسليم المتوقعة]]</f>
        <v>7</v>
      </c>
      <c r="Y39" t="s">
        <v>173</v>
      </c>
      <c r="Z39" t="s">
        <v>172</v>
      </c>
    </row>
    <row r="40" spans="1:26" ht="20.100000000000001" customHeight="1" x14ac:dyDescent="0.2">
      <c r="A40">
        <v>1504407</v>
      </c>
      <c r="B40">
        <v>1229760</v>
      </c>
      <c r="C40" t="s">
        <v>128</v>
      </c>
      <c r="D40"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0">
        <f>IF(COUNTIFS($C$2:C40, C40, $D$2:D40, D40)=1, 1, 0)</f>
        <v>1</v>
      </c>
      <c r="F40" t="s">
        <v>30</v>
      </c>
      <c r="G40" t="s">
        <v>299</v>
      </c>
      <c r="H40" t="s">
        <v>6</v>
      </c>
      <c r="I40" t="s">
        <v>136</v>
      </c>
      <c r="J40" t="s">
        <v>148</v>
      </c>
      <c r="K40" t="s">
        <v>141</v>
      </c>
      <c r="L40">
        <v>120</v>
      </c>
      <c r="M40" t="s">
        <v>155</v>
      </c>
      <c r="N40"/>
      <c r="O40">
        <v>1</v>
      </c>
      <c r="P40" t="s">
        <v>129</v>
      </c>
      <c r="Q40">
        <v>12999</v>
      </c>
      <c r="R40" t="s">
        <v>12</v>
      </c>
      <c r="S40" s="16">
        <v>45549</v>
      </c>
      <c r="T40" s="16">
        <v>45562</v>
      </c>
      <c r="U40" s="16">
        <v>45567</v>
      </c>
      <c r="V40">
        <f>misuo[[#This Row],[ميعاد التسليم]]-misuo[[#This Row],[ميعاد الطلب]]</f>
        <v>13</v>
      </c>
      <c r="W40">
        <f>misuo[[#This Row],[تاريخ التسليم]]-misuo[[#This Row],[ميعاد الطلب]]</f>
        <v>18</v>
      </c>
      <c r="X40">
        <f>misuo[[#This Row],[مدة التسليم الفعلية]]-misuo[[#This Row],[مدة التسليم المتوقعة]]</f>
        <v>5</v>
      </c>
      <c r="Y40" t="s">
        <v>173</v>
      </c>
      <c r="Z40" t="s">
        <v>172</v>
      </c>
    </row>
    <row r="41" spans="1:26" ht="20.100000000000001" customHeight="1" x14ac:dyDescent="0.2">
      <c r="A41">
        <v>1423361</v>
      </c>
      <c r="B41">
        <v>1207484</v>
      </c>
      <c r="C41" t="s">
        <v>63</v>
      </c>
      <c r="D41"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1">
        <f>IF(COUNTIFS($C$2:C41, C41, $D$2:D41, D41)=1, 1, 0)</f>
        <v>1</v>
      </c>
      <c r="F41" t="s">
        <v>64</v>
      </c>
      <c r="G41" t="s">
        <v>303</v>
      </c>
      <c r="H41" t="s">
        <v>6</v>
      </c>
      <c r="I41" t="s">
        <v>136</v>
      </c>
      <c r="J41" t="s">
        <v>148</v>
      </c>
      <c r="K41" t="s">
        <v>138</v>
      </c>
      <c r="L41">
        <v>90</v>
      </c>
      <c r="M41" t="s">
        <v>151</v>
      </c>
      <c r="N41"/>
      <c r="O41">
        <v>1</v>
      </c>
      <c r="P41" t="s">
        <v>67</v>
      </c>
      <c r="Q41">
        <v>5999</v>
      </c>
      <c r="R41" t="s">
        <v>12</v>
      </c>
      <c r="S41" s="16">
        <v>45547</v>
      </c>
      <c r="T41" s="16">
        <v>45564</v>
      </c>
      <c r="U41" s="16"/>
      <c r="V41">
        <f>misuo[[#This Row],[ميعاد التسليم]]-misuo[[#This Row],[ميعاد الطلب]]</f>
        <v>17</v>
      </c>
      <c r="W41"/>
      <c r="X41">
        <f>misuo[[#This Row],[مدة التسليم الفعلية]]-misuo[[#This Row],[مدة التسليم المتوقعة]]</f>
        <v>-17</v>
      </c>
      <c r="Y41"/>
      <c r="Z41" t="s">
        <v>326</v>
      </c>
    </row>
    <row r="42" spans="1:26" ht="20.100000000000001" customHeight="1" x14ac:dyDescent="0.2">
      <c r="A42">
        <v>1415725</v>
      </c>
      <c r="B42">
        <v>1204732</v>
      </c>
      <c r="C42" t="s">
        <v>65</v>
      </c>
      <c r="D42"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2">
        <f>IF(COUNTIFS($C$2:C42, C42, $D$2:D42, D42)=1, 1, 0)</f>
        <v>1</v>
      </c>
      <c r="F42" t="s">
        <v>66</v>
      </c>
      <c r="G42" t="s">
        <v>299</v>
      </c>
      <c r="H42" t="s">
        <v>6</v>
      </c>
      <c r="I42" t="s">
        <v>136</v>
      </c>
      <c r="J42" t="s">
        <v>148</v>
      </c>
      <c r="K42" t="s">
        <v>141</v>
      </c>
      <c r="L42">
        <v>100</v>
      </c>
      <c r="M42" t="s">
        <v>151</v>
      </c>
      <c r="N42"/>
      <c r="O42">
        <v>2</v>
      </c>
      <c r="P42" t="s">
        <v>68</v>
      </c>
      <c r="Q42">
        <v>11949</v>
      </c>
      <c r="R42" t="s">
        <v>294</v>
      </c>
      <c r="S42" s="16">
        <v>45547</v>
      </c>
      <c r="T42" s="16">
        <v>45564</v>
      </c>
      <c r="U42" s="16">
        <v>45567</v>
      </c>
      <c r="V42">
        <f>misuo[[#This Row],[ميعاد التسليم]]-misuo[[#This Row],[ميعاد الطلب]]</f>
        <v>17</v>
      </c>
      <c r="W42">
        <f>misuo[[#This Row],[تاريخ التسليم]]-misuo[[#This Row],[ميعاد الطلب]]</f>
        <v>20</v>
      </c>
      <c r="X42">
        <f>misuo[[#This Row],[مدة التسليم الفعلية]]-misuo[[#This Row],[مدة التسليم المتوقعة]]</f>
        <v>3</v>
      </c>
      <c r="Y42" t="s">
        <v>173</v>
      </c>
      <c r="Z42" t="s">
        <v>172</v>
      </c>
    </row>
    <row r="43" spans="1:26" ht="20.100000000000001" customHeight="1" x14ac:dyDescent="0.2">
      <c r="A43">
        <v>1415726</v>
      </c>
      <c r="B43">
        <v>1204732</v>
      </c>
      <c r="C43" t="s">
        <v>65</v>
      </c>
      <c r="D4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3">
        <f>IF(COUNTIFS($C$2:C43, C43, $D$2:D43, D43)=1, 1, 0)</f>
        <v>0</v>
      </c>
      <c r="F43" t="s">
        <v>66</v>
      </c>
      <c r="G43" t="s">
        <v>299</v>
      </c>
      <c r="H43" t="s">
        <v>6</v>
      </c>
      <c r="I43" t="s">
        <v>136</v>
      </c>
      <c r="J43" t="s">
        <v>148</v>
      </c>
      <c r="K43" t="s">
        <v>141</v>
      </c>
      <c r="L43">
        <v>100</v>
      </c>
      <c r="M43" t="s">
        <v>151</v>
      </c>
      <c r="N43"/>
      <c r="O43">
        <v>2</v>
      </c>
      <c r="P43" t="s">
        <v>68</v>
      </c>
      <c r="Q43">
        <v>11949</v>
      </c>
      <c r="R43" t="s">
        <v>294</v>
      </c>
      <c r="S43" s="16">
        <v>45547</v>
      </c>
      <c r="T43" s="16">
        <v>45564</v>
      </c>
      <c r="U43" s="16">
        <v>45567</v>
      </c>
      <c r="V43">
        <f>misuo[[#This Row],[ميعاد التسليم]]-misuo[[#This Row],[ميعاد الطلب]]</f>
        <v>17</v>
      </c>
      <c r="W43">
        <f>misuo[[#This Row],[تاريخ التسليم]]-misuo[[#This Row],[ميعاد الطلب]]</f>
        <v>20</v>
      </c>
      <c r="X43">
        <f>misuo[[#This Row],[مدة التسليم الفعلية]]-misuo[[#This Row],[مدة التسليم المتوقعة]]</f>
        <v>3</v>
      </c>
      <c r="Y43" t="s">
        <v>173</v>
      </c>
      <c r="Z43" t="s">
        <v>172</v>
      </c>
    </row>
    <row r="44" spans="1:26" ht="20.100000000000001" customHeight="1" x14ac:dyDescent="0.2">
      <c r="A44">
        <v>1499397</v>
      </c>
      <c r="B44">
        <v>1228586</v>
      </c>
      <c r="C44" t="s">
        <v>26</v>
      </c>
      <c r="D4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4">
        <f>IF(COUNTIFS($C$2:C44, C44, $D$2:D44, D44)=1, 1, 0)</f>
        <v>0</v>
      </c>
      <c r="F44" t="s">
        <v>77</v>
      </c>
      <c r="G44" t="s">
        <v>303</v>
      </c>
      <c r="H44" t="s">
        <v>6</v>
      </c>
      <c r="I44" t="s">
        <v>136</v>
      </c>
      <c r="J44" t="s">
        <v>154</v>
      </c>
      <c r="K44" t="s">
        <v>141</v>
      </c>
      <c r="L44">
        <v>80</v>
      </c>
      <c r="M44" t="s">
        <v>150</v>
      </c>
      <c r="N44"/>
      <c r="O44">
        <v>3</v>
      </c>
      <c r="P44" t="s">
        <v>80</v>
      </c>
      <c r="Q44">
        <v>16599</v>
      </c>
      <c r="R44" t="s">
        <v>12</v>
      </c>
      <c r="S44" s="16">
        <v>45548</v>
      </c>
      <c r="T44" s="16">
        <v>45565</v>
      </c>
      <c r="U44" s="16">
        <v>45568</v>
      </c>
      <c r="V44">
        <f>misuo[[#This Row],[ميعاد التسليم]]-misuo[[#This Row],[ميعاد الطلب]]</f>
        <v>17</v>
      </c>
      <c r="W44">
        <f>misuo[[#This Row],[تاريخ التسليم]]-misuo[[#This Row],[ميعاد الطلب]]</f>
        <v>20</v>
      </c>
      <c r="X44">
        <f>misuo[[#This Row],[مدة التسليم الفعلية]]-misuo[[#This Row],[مدة التسليم المتوقعة]]</f>
        <v>3</v>
      </c>
      <c r="Y44" t="s">
        <v>173</v>
      </c>
      <c r="Z44" t="s">
        <v>172</v>
      </c>
    </row>
    <row r="45" spans="1:26" ht="20.100000000000001" customHeight="1" x14ac:dyDescent="0.2">
      <c r="A45">
        <v>1458696</v>
      </c>
      <c r="B45">
        <v>1217982</v>
      </c>
      <c r="C45" t="s">
        <v>78</v>
      </c>
      <c r="D4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5">
        <f>IF(COUNTIFS($C$2:C45, C45, $D$2:D45, D45)=1, 1, 0)</f>
        <v>1</v>
      </c>
      <c r="F45" t="s">
        <v>20</v>
      </c>
      <c r="G45" t="s">
        <v>302</v>
      </c>
      <c r="H45" t="s">
        <v>6</v>
      </c>
      <c r="I45" t="s">
        <v>136</v>
      </c>
      <c r="J45" t="s">
        <v>148</v>
      </c>
      <c r="K45" t="s">
        <v>141</v>
      </c>
      <c r="L45">
        <v>80</v>
      </c>
      <c r="M45" t="s">
        <v>150</v>
      </c>
      <c r="N45"/>
      <c r="O45">
        <v>1</v>
      </c>
      <c r="P45" t="s">
        <v>79</v>
      </c>
      <c r="Q45">
        <v>10999</v>
      </c>
      <c r="R45" t="s">
        <v>12</v>
      </c>
      <c r="S45" s="16">
        <v>45548</v>
      </c>
      <c r="T45" s="16">
        <v>45565</v>
      </c>
      <c r="U45" s="16">
        <v>45581</v>
      </c>
      <c r="V45">
        <f>misuo[[#This Row],[ميعاد التسليم]]-misuo[[#This Row],[ميعاد الطلب]]</f>
        <v>17</v>
      </c>
      <c r="W45">
        <f>misuo[[#This Row],[تاريخ التسليم]]-misuo[[#This Row],[ميعاد الطلب]]</f>
        <v>33</v>
      </c>
      <c r="X45">
        <f>misuo[[#This Row],[مدة التسليم الفعلية]]-misuo[[#This Row],[مدة التسليم المتوقعة]]</f>
        <v>16</v>
      </c>
      <c r="Y45" t="s">
        <v>22</v>
      </c>
      <c r="Z45" t="s">
        <v>172</v>
      </c>
    </row>
    <row r="46" spans="1:26" ht="20.100000000000001" customHeight="1" x14ac:dyDescent="0.2">
      <c r="A46">
        <v>1480814</v>
      </c>
      <c r="B46">
        <v>1223964</v>
      </c>
      <c r="C46" t="s">
        <v>81</v>
      </c>
      <c r="D4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6">
        <f>IF(COUNTIFS($C$2:C46, C46, $D$2:D46, D46)=1, 1, 0)</f>
        <v>1</v>
      </c>
      <c r="F46" t="s">
        <v>82</v>
      </c>
      <c r="G46" t="s">
        <v>184</v>
      </c>
      <c r="H46" t="s">
        <v>6</v>
      </c>
      <c r="I46" t="s">
        <v>136</v>
      </c>
      <c r="J46" t="s">
        <v>148</v>
      </c>
      <c r="K46" t="s">
        <v>141</v>
      </c>
      <c r="L46">
        <v>140</v>
      </c>
      <c r="M46" t="s">
        <v>153</v>
      </c>
      <c r="N46"/>
      <c r="O46">
        <v>1</v>
      </c>
      <c r="P46" t="s">
        <v>83</v>
      </c>
      <c r="Q46">
        <v>13099</v>
      </c>
      <c r="R46" t="s">
        <v>12</v>
      </c>
      <c r="S46" s="16">
        <v>45548</v>
      </c>
      <c r="T46" s="16">
        <v>45565</v>
      </c>
      <c r="U46" s="16">
        <v>45568</v>
      </c>
      <c r="V46">
        <f>misuo[[#This Row],[ميعاد التسليم]]-misuo[[#This Row],[ميعاد الطلب]]</f>
        <v>17</v>
      </c>
      <c r="W46">
        <f>misuo[[#This Row],[تاريخ التسليم]]-misuo[[#This Row],[ميعاد الطلب]]</f>
        <v>20</v>
      </c>
      <c r="X46">
        <f>misuo[[#This Row],[مدة التسليم الفعلية]]-misuo[[#This Row],[مدة التسليم المتوقعة]]</f>
        <v>3</v>
      </c>
      <c r="Y46" t="s">
        <v>22</v>
      </c>
      <c r="Z46" t="s">
        <v>172</v>
      </c>
    </row>
    <row r="47" spans="1:26" ht="20.100000000000001" customHeight="1" x14ac:dyDescent="0.2">
      <c r="A47">
        <v>1492471</v>
      </c>
      <c r="B47">
        <v>1227052</v>
      </c>
      <c r="C47" t="s">
        <v>86</v>
      </c>
      <c r="D47"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7">
        <f>IF(COUNTIFS($C$2:C47, C47, $D$2:D47, D47)=1, 1, 0)</f>
        <v>1</v>
      </c>
      <c r="F47" t="s">
        <v>30</v>
      </c>
      <c r="G47" t="s">
        <v>299</v>
      </c>
      <c r="H47" t="s">
        <v>6</v>
      </c>
      <c r="I47" t="s">
        <v>136</v>
      </c>
      <c r="J47" t="s">
        <v>148</v>
      </c>
      <c r="K47" t="s">
        <v>140</v>
      </c>
      <c r="L47">
        <v>120</v>
      </c>
      <c r="M47" t="s">
        <v>156</v>
      </c>
      <c r="N47"/>
      <c r="O47">
        <v>1</v>
      </c>
      <c r="P47" t="s">
        <v>87</v>
      </c>
      <c r="Q47">
        <v>13849</v>
      </c>
      <c r="R47" t="s">
        <v>12</v>
      </c>
      <c r="S47" s="16">
        <v>45548</v>
      </c>
      <c r="T47" s="16">
        <v>45565</v>
      </c>
      <c r="U47" s="16">
        <v>45585</v>
      </c>
      <c r="V47">
        <f>misuo[[#This Row],[ميعاد التسليم]]-misuo[[#This Row],[ميعاد الطلب]]</f>
        <v>17</v>
      </c>
      <c r="W47">
        <f>misuo[[#This Row],[تاريخ التسليم]]-misuo[[#This Row],[ميعاد الطلب]]</f>
        <v>37</v>
      </c>
      <c r="X47">
        <f>misuo[[#This Row],[مدة التسليم الفعلية]]-misuo[[#This Row],[مدة التسليم المتوقعة]]</f>
        <v>20</v>
      </c>
      <c r="Y47" t="s">
        <v>173</v>
      </c>
      <c r="Z47" t="s">
        <v>172</v>
      </c>
    </row>
    <row r="48" spans="1:26" ht="20.100000000000001" customHeight="1" x14ac:dyDescent="0.2">
      <c r="A48">
        <v>1507912</v>
      </c>
      <c r="B48">
        <v>1230527</v>
      </c>
      <c r="C48" t="s">
        <v>90</v>
      </c>
      <c r="D48"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8">
        <f>IF(COUNTIFS($C$2:C48, C48, $D$2:D48, D48)=1, 1, 0)</f>
        <v>1</v>
      </c>
      <c r="F48" t="s">
        <v>91</v>
      </c>
      <c r="G48" t="s">
        <v>303</v>
      </c>
      <c r="H48" t="s">
        <v>6</v>
      </c>
      <c r="I48" t="s">
        <v>146</v>
      </c>
      <c r="J48" t="s">
        <v>179</v>
      </c>
      <c r="K48"/>
      <c r="L48"/>
      <c r="M48" t="s">
        <v>151</v>
      </c>
      <c r="N48" t="s">
        <v>155</v>
      </c>
      <c r="O48">
        <v>1</v>
      </c>
      <c r="P48" t="s">
        <v>92</v>
      </c>
      <c r="Q48">
        <v>21999</v>
      </c>
      <c r="R48" t="s">
        <v>12</v>
      </c>
      <c r="S48" s="16">
        <v>45548</v>
      </c>
      <c r="T48" s="16">
        <v>45565</v>
      </c>
      <c r="U48" s="16"/>
      <c r="V48">
        <f>misuo[[#This Row],[ميعاد التسليم]]-misuo[[#This Row],[ميعاد الطلب]]</f>
        <v>17</v>
      </c>
      <c r="W48"/>
      <c r="X48">
        <f>misuo[[#This Row],[مدة التسليم الفعلية]]-misuo[[#This Row],[مدة التسليم المتوقعة]]</f>
        <v>-17</v>
      </c>
      <c r="Y48" t="s">
        <v>173</v>
      </c>
      <c r="Z48" t="s">
        <v>172</v>
      </c>
    </row>
    <row r="49" spans="1:26" ht="20.100000000000001" customHeight="1" x14ac:dyDescent="0.2">
      <c r="A49">
        <v>1525747</v>
      </c>
      <c r="B49">
        <v>1234936</v>
      </c>
      <c r="C49" t="s">
        <v>97</v>
      </c>
      <c r="D4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49">
        <f>IF(COUNTIFS($C$2:C49, C49, $D$2:D49, D49)=1, 1, 0)</f>
        <v>1</v>
      </c>
      <c r="F49" t="s">
        <v>30</v>
      </c>
      <c r="G49" t="s">
        <v>299</v>
      </c>
      <c r="H49" t="s">
        <v>6</v>
      </c>
      <c r="I49" t="s">
        <v>136</v>
      </c>
      <c r="J49" t="s">
        <v>148</v>
      </c>
      <c r="K49" t="s">
        <v>141</v>
      </c>
      <c r="L49">
        <v>80</v>
      </c>
      <c r="M49" t="s">
        <v>150</v>
      </c>
      <c r="N49"/>
      <c r="O49">
        <v>1</v>
      </c>
      <c r="P49" t="s">
        <v>79</v>
      </c>
      <c r="Q49">
        <v>10999</v>
      </c>
      <c r="R49" t="s">
        <v>12</v>
      </c>
      <c r="S49" s="16">
        <v>45548</v>
      </c>
      <c r="T49" s="16">
        <v>45565</v>
      </c>
      <c r="U49" s="16">
        <v>45580</v>
      </c>
      <c r="V49">
        <f>misuo[[#This Row],[ميعاد التسليم]]-misuo[[#This Row],[ميعاد الطلب]]</f>
        <v>17</v>
      </c>
      <c r="W49">
        <f>misuo[[#This Row],[تاريخ التسليم]]-misuo[[#This Row],[ميعاد الطلب]]</f>
        <v>32</v>
      </c>
      <c r="X49">
        <f>misuo[[#This Row],[مدة التسليم الفعلية]]-misuo[[#This Row],[مدة التسليم المتوقعة]]</f>
        <v>15</v>
      </c>
      <c r="Y49" t="s">
        <v>173</v>
      </c>
      <c r="Z49" t="s">
        <v>172</v>
      </c>
    </row>
    <row r="50" spans="1:26" ht="20.100000000000001" customHeight="1" x14ac:dyDescent="0.2">
      <c r="A50">
        <v>1536313</v>
      </c>
      <c r="B50">
        <v>1237601</v>
      </c>
      <c r="C50" t="s">
        <v>98</v>
      </c>
      <c r="D50"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0">
        <f>IF(COUNTIFS($C$2:C50, C50, $D$2:D50, D50)=1, 1, 0)</f>
        <v>1</v>
      </c>
      <c r="F50" t="s">
        <v>96</v>
      </c>
      <c r="G50" t="s">
        <v>303</v>
      </c>
      <c r="H50" t="s">
        <v>6</v>
      </c>
      <c r="I50" t="s">
        <v>136</v>
      </c>
      <c r="J50" t="s">
        <v>154</v>
      </c>
      <c r="K50" t="s">
        <v>141</v>
      </c>
      <c r="L50">
        <v>90</v>
      </c>
      <c r="M50" t="s">
        <v>151</v>
      </c>
      <c r="N50"/>
      <c r="O50">
        <v>1</v>
      </c>
      <c r="P50" t="s">
        <v>99</v>
      </c>
      <c r="Q50">
        <v>17249</v>
      </c>
      <c r="R50" t="s">
        <v>12</v>
      </c>
      <c r="S50" s="16">
        <v>45548</v>
      </c>
      <c r="T50" s="16">
        <v>45565</v>
      </c>
      <c r="U50" s="16">
        <v>45569</v>
      </c>
      <c r="V50">
        <f>misuo[[#This Row],[ميعاد التسليم]]-misuo[[#This Row],[ميعاد الطلب]]</f>
        <v>17</v>
      </c>
      <c r="W50">
        <f>misuo[[#This Row],[تاريخ التسليم]]-misuo[[#This Row],[ميعاد الطلب]]</f>
        <v>21</v>
      </c>
      <c r="X50">
        <f>misuo[[#This Row],[مدة التسليم الفعلية]]-misuo[[#This Row],[مدة التسليم المتوقعة]]</f>
        <v>4</v>
      </c>
      <c r="Y50" t="s">
        <v>173</v>
      </c>
      <c r="Z50" t="s">
        <v>172</v>
      </c>
    </row>
    <row r="51" spans="1:26" ht="20.100000000000001" customHeight="1" x14ac:dyDescent="0.2">
      <c r="A51">
        <v>1505609</v>
      </c>
      <c r="B51">
        <v>1230031</v>
      </c>
      <c r="C51" t="s">
        <v>125</v>
      </c>
      <c r="D51"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1">
        <f>IF(COUNTIFS($C$2:C51, C51, $D$2:D51, D51)=1, 1, 0)</f>
        <v>1</v>
      </c>
      <c r="F51" t="s">
        <v>126</v>
      </c>
      <c r="G51" t="s">
        <v>299</v>
      </c>
      <c r="H51" t="s">
        <v>6</v>
      </c>
      <c r="I51" t="s">
        <v>250</v>
      </c>
      <c r="J51" t="s">
        <v>264</v>
      </c>
      <c r="K51"/>
      <c r="L51"/>
      <c r="M51"/>
      <c r="N51"/>
      <c r="O51">
        <v>1</v>
      </c>
      <c r="P51" t="s">
        <v>127</v>
      </c>
      <c r="Q51">
        <v>8349</v>
      </c>
      <c r="R51" t="s">
        <v>12</v>
      </c>
      <c r="S51" s="16">
        <v>45549</v>
      </c>
      <c r="T51" s="16">
        <v>45581</v>
      </c>
      <c r="U51" s="16">
        <v>45586</v>
      </c>
      <c r="V51">
        <f>misuo[[#This Row],[ميعاد التسليم]]-misuo[[#This Row],[ميعاد الطلب]]</f>
        <v>32</v>
      </c>
      <c r="W51">
        <f>misuo[[#This Row],[تاريخ التسليم]]-misuo[[#This Row],[ميعاد الطلب]]</f>
        <v>37</v>
      </c>
      <c r="X51">
        <f>misuo[[#This Row],[مدة التسليم الفعلية]]-misuo[[#This Row],[مدة التسليم المتوقعة]]</f>
        <v>5</v>
      </c>
      <c r="Y51" t="s">
        <v>173</v>
      </c>
      <c r="Z51" t="s">
        <v>172</v>
      </c>
    </row>
    <row r="52" spans="1:26" ht="20.100000000000001" customHeight="1" x14ac:dyDescent="0.2">
      <c r="A52">
        <v>1612229</v>
      </c>
      <c r="B52">
        <v>1254076</v>
      </c>
      <c r="C52" t="s">
        <v>105</v>
      </c>
      <c r="D52"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2">
        <f>IF(COUNTIFS($C$2:C52, C52, $D$2:D52, D52)=1, 1, 0)</f>
        <v>1</v>
      </c>
      <c r="F52" t="s">
        <v>52</v>
      </c>
      <c r="G52" t="s">
        <v>303</v>
      </c>
      <c r="H52" t="s">
        <v>6</v>
      </c>
      <c r="I52" t="s">
        <v>250</v>
      </c>
      <c r="J52" t="s">
        <v>168</v>
      </c>
      <c r="K52"/>
      <c r="L52"/>
      <c r="M52"/>
      <c r="N52"/>
      <c r="O52">
        <v>1</v>
      </c>
      <c r="P52" t="s">
        <v>21</v>
      </c>
      <c r="Q52">
        <v>7849</v>
      </c>
      <c r="R52" t="s">
        <v>12</v>
      </c>
      <c r="S52" s="16">
        <v>45549</v>
      </c>
      <c r="T52" s="16">
        <v>45594</v>
      </c>
      <c r="U52" s="16">
        <v>45595</v>
      </c>
      <c r="V52">
        <f>misuo[[#This Row],[ميعاد التسليم]]-misuo[[#This Row],[ميعاد الطلب]]</f>
        <v>45</v>
      </c>
      <c r="W52">
        <f>misuo[[#This Row],[تاريخ التسليم]]-misuo[[#This Row],[ميعاد الطلب]]</f>
        <v>46</v>
      </c>
      <c r="X52">
        <f>misuo[[#This Row],[مدة التسليم الفعلية]]-misuo[[#This Row],[مدة التسليم المتوقعة]]</f>
        <v>1</v>
      </c>
      <c r="Y52" t="s">
        <v>173</v>
      </c>
      <c r="Z52" t="s">
        <v>172</v>
      </c>
    </row>
    <row r="53" spans="1:26" ht="20.100000000000001" customHeight="1" x14ac:dyDescent="0.2">
      <c r="A53">
        <v>1673771</v>
      </c>
      <c r="B53">
        <v>1269559</v>
      </c>
      <c r="C53" t="s">
        <v>106</v>
      </c>
      <c r="D5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3">
        <f>IF(COUNTIFS($C$2:C53, C53, $D$2:D53, D53)=1, 1, 0)</f>
        <v>1</v>
      </c>
      <c r="F53" t="s">
        <v>30</v>
      </c>
      <c r="G53" t="s">
        <v>299</v>
      </c>
      <c r="H53" t="s">
        <v>6</v>
      </c>
      <c r="I53" t="s">
        <v>136</v>
      </c>
      <c r="J53" t="s">
        <v>137</v>
      </c>
      <c r="K53"/>
      <c r="L53"/>
      <c r="M53" t="s">
        <v>151</v>
      </c>
      <c r="N53" t="s">
        <v>151</v>
      </c>
      <c r="O53">
        <v>1</v>
      </c>
      <c r="P53" t="s">
        <v>107</v>
      </c>
      <c r="Q53">
        <v>9399</v>
      </c>
      <c r="R53" t="s">
        <v>12</v>
      </c>
      <c r="S53" s="16">
        <v>45549</v>
      </c>
      <c r="T53" s="16">
        <v>45594</v>
      </c>
      <c r="U53" s="16">
        <v>45580</v>
      </c>
      <c r="V53">
        <f>misuo[[#This Row],[ميعاد التسليم]]-misuo[[#This Row],[ميعاد الطلب]]</f>
        <v>45</v>
      </c>
      <c r="W53">
        <f>misuo[[#This Row],[تاريخ التسليم]]-misuo[[#This Row],[ميعاد الطلب]]</f>
        <v>31</v>
      </c>
      <c r="X53">
        <f>misuo[[#This Row],[مدة التسليم الفعلية]]-misuo[[#This Row],[مدة التسليم المتوقعة]]</f>
        <v>-14</v>
      </c>
      <c r="Y53" t="s">
        <v>173</v>
      </c>
      <c r="Z53" t="s">
        <v>172</v>
      </c>
    </row>
    <row r="54" spans="1:26" ht="20.100000000000001" customHeight="1" x14ac:dyDescent="0.2">
      <c r="A54">
        <v>1667352</v>
      </c>
      <c r="B54">
        <v>1267819</v>
      </c>
      <c r="C54" t="s">
        <v>108</v>
      </c>
      <c r="D5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4">
        <f>IF(COUNTIFS($C$2:C54, C54, $D$2:D54, D54)=1, 1, 0)</f>
        <v>1</v>
      </c>
      <c r="F54" t="s">
        <v>109</v>
      </c>
      <c r="G54" t="s">
        <v>299</v>
      </c>
      <c r="H54" t="s">
        <v>6</v>
      </c>
      <c r="I54" t="s">
        <v>136</v>
      </c>
      <c r="J54" t="s">
        <v>139</v>
      </c>
      <c r="K54" t="s">
        <v>142</v>
      </c>
      <c r="L54">
        <v>140</v>
      </c>
      <c r="M54" t="s">
        <v>151</v>
      </c>
      <c r="N54"/>
      <c r="O54">
        <v>1</v>
      </c>
      <c r="P54" t="s">
        <v>110</v>
      </c>
      <c r="Q54">
        <v>11817</v>
      </c>
      <c r="R54" t="s">
        <v>12</v>
      </c>
      <c r="S54" s="16">
        <v>45549</v>
      </c>
      <c r="T54" s="16">
        <v>45594</v>
      </c>
      <c r="U54" s="16">
        <v>45580</v>
      </c>
      <c r="V54">
        <f>misuo[[#This Row],[ميعاد التسليم]]-misuo[[#This Row],[ميعاد الطلب]]</f>
        <v>45</v>
      </c>
      <c r="W54">
        <f>misuo[[#This Row],[تاريخ التسليم]]-misuo[[#This Row],[ميعاد الطلب]]</f>
        <v>31</v>
      </c>
      <c r="X54">
        <f>misuo[[#This Row],[مدة التسليم الفعلية]]-misuo[[#This Row],[مدة التسليم المتوقعة]]</f>
        <v>-14</v>
      </c>
      <c r="Y54" t="s">
        <v>173</v>
      </c>
      <c r="Z54" t="s">
        <v>172</v>
      </c>
    </row>
    <row r="55" spans="1:26" ht="20.100000000000001" customHeight="1" x14ac:dyDescent="0.2">
      <c r="A55">
        <v>1649781</v>
      </c>
      <c r="B55">
        <v>1263160</v>
      </c>
      <c r="C55" t="s">
        <v>111</v>
      </c>
      <c r="D5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5">
        <f>IF(COUNTIFS($C$2:C55, C55, $D$2:D55, D55)=1, 1, 0)</f>
        <v>1</v>
      </c>
      <c r="F55" t="s">
        <v>77</v>
      </c>
      <c r="G55" t="s">
        <v>303</v>
      </c>
      <c r="H55" t="s">
        <v>6</v>
      </c>
      <c r="I55" t="s">
        <v>250</v>
      </c>
      <c r="J55" t="s">
        <v>169</v>
      </c>
      <c r="K55"/>
      <c r="L55"/>
      <c r="M55"/>
      <c r="N55"/>
      <c r="O55">
        <v>1</v>
      </c>
      <c r="P55" t="s">
        <v>112</v>
      </c>
      <c r="Q55">
        <v>8349</v>
      </c>
      <c r="R55" t="s">
        <v>12</v>
      </c>
      <c r="S55" s="16">
        <v>45549</v>
      </c>
      <c r="T55" s="16">
        <v>45594</v>
      </c>
      <c r="U55" s="16">
        <v>45584</v>
      </c>
      <c r="V55">
        <f>misuo[[#This Row],[ميعاد التسليم]]-misuo[[#This Row],[ميعاد الطلب]]</f>
        <v>45</v>
      </c>
      <c r="W55">
        <f>misuo[[#This Row],[تاريخ التسليم]]-misuo[[#This Row],[ميعاد الطلب]]</f>
        <v>35</v>
      </c>
      <c r="X55">
        <f>misuo[[#This Row],[مدة التسليم الفعلية]]-misuo[[#This Row],[مدة التسليم المتوقعة]]</f>
        <v>-10</v>
      </c>
      <c r="Y55" t="s">
        <v>173</v>
      </c>
      <c r="Z55" t="s">
        <v>172</v>
      </c>
    </row>
    <row r="56" spans="1:26" ht="20.100000000000001" customHeight="1" x14ac:dyDescent="0.2">
      <c r="A56">
        <v>1681476</v>
      </c>
      <c r="B56">
        <v>1271813</v>
      </c>
      <c r="C56" t="s">
        <v>115</v>
      </c>
      <c r="D5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6">
        <f>IF(COUNTIFS($C$2:C56, C56, $D$2:D56, D56)=1, 1, 0)</f>
        <v>1</v>
      </c>
      <c r="F56" t="s">
        <v>116</v>
      </c>
      <c r="G56" t="s">
        <v>303</v>
      </c>
      <c r="H56" t="s">
        <v>6</v>
      </c>
      <c r="I56" t="s">
        <v>136</v>
      </c>
      <c r="J56" t="s">
        <v>139</v>
      </c>
      <c r="K56" t="s">
        <v>160</v>
      </c>
      <c r="L56">
        <v>120</v>
      </c>
      <c r="M56" t="s">
        <v>150</v>
      </c>
      <c r="N56"/>
      <c r="O56">
        <v>1</v>
      </c>
      <c r="P56" t="s">
        <v>117</v>
      </c>
      <c r="Q56">
        <v>17886</v>
      </c>
      <c r="R56" t="s">
        <v>12</v>
      </c>
      <c r="S56" s="16">
        <v>45549</v>
      </c>
      <c r="T56" s="16">
        <v>45594</v>
      </c>
      <c r="U56" s="16"/>
      <c r="V56">
        <f>misuo[[#This Row],[ميعاد التسليم]]-misuo[[#This Row],[ميعاد الطلب]]</f>
        <v>45</v>
      </c>
      <c r="W56"/>
      <c r="X56">
        <f>misuo[[#This Row],[مدة التسليم الفعلية]]-misuo[[#This Row],[مدة التسليم المتوقعة]]</f>
        <v>-45</v>
      </c>
      <c r="Y56"/>
      <c r="Z56" t="s">
        <v>326</v>
      </c>
    </row>
    <row r="57" spans="1:26" ht="20.100000000000001" customHeight="1" x14ac:dyDescent="0.2">
      <c r="A57">
        <v>1681477</v>
      </c>
      <c r="B57">
        <v>1271813</v>
      </c>
      <c r="C57" t="s">
        <v>115</v>
      </c>
      <c r="D57"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7">
        <f>IF(COUNTIFS($C$2:C57, C57, $D$2:D57, D57)=1, 1, 0)</f>
        <v>0</v>
      </c>
      <c r="F57" t="s">
        <v>116</v>
      </c>
      <c r="G57" t="s">
        <v>303</v>
      </c>
      <c r="H57" t="s">
        <v>6</v>
      </c>
      <c r="I57" t="s">
        <v>136</v>
      </c>
      <c r="J57" t="s">
        <v>139</v>
      </c>
      <c r="K57" t="s">
        <v>160</v>
      </c>
      <c r="L57">
        <v>120</v>
      </c>
      <c r="M57" t="s">
        <v>150</v>
      </c>
      <c r="N57"/>
      <c r="O57">
        <v>1</v>
      </c>
      <c r="P57" t="s">
        <v>117</v>
      </c>
      <c r="Q57">
        <v>17886</v>
      </c>
      <c r="R57" t="s">
        <v>12</v>
      </c>
      <c r="S57" s="16">
        <v>45549</v>
      </c>
      <c r="T57" s="16">
        <v>45594</v>
      </c>
      <c r="U57" s="16"/>
      <c r="V57">
        <f>misuo[[#This Row],[ميعاد التسليم]]-misuo[[#This Row],[ميعاد الطلب]]</f>
        <v>45</v>
      </c>
      <c r="W57"/>
      <c r="X57">
        <f>misuo[[#This Row],[مدة التسليم الفعلية]]-misuo[[#This Row],[مدة التسليم المتوقعة]]</f>
        <v>-45</v>
      </c>
      <c r="Y57"/>
      <c r="Z57" t="s">
        <v>326</v>
      </c>
    </row>
    <row r="58" spans="1:26" ht="20.100000000000001" customHeight="1" x14ac:dyDescent="0.2">
      <c r="A58">
        <v>1677530</v>
      </c>
      <c r="B58">
        <v>1270704</v>
      </c>
      <c r="C58" t="s">
        <v>118</v>
      </c>
      <c r="D58"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8">
        <f>IF(COUNTIFS($C$2:C58, C58, $D$2:D58, D58)=1, 1, 0)</f>
        <v>1</v>
      </c>
      <c r="F58" t="s">
        <v>57</v>
      </c>
      <c r="G58" t="s">
        <v>303</v>
      </c>
      <c r="H58" t="s">
        <v>6</v>
      </c>
      <c r="I58" t="s">
        <v>136</v>
      </c>
      <c r="J58" t="s">
        <v>139</v>
      </c>
      <c r="K58" t="s">
        <v>142</v>
      </c>
      <c r="L58">
        <v>120</v>
      </c>
      <c r="M58" t="s">
        <v>150</v>
      </c>
      <c r="N58"/>
      <c r="O58">
        <v>1</v>
      </c>
      <c r="P58" t="s">
        <v>119</v>
      </c>
      <c r="Q58">
        <v>10987</v>
      </c>
      <c r="R58" t="s">
        <v>12</v>
      </c>
      <c r="S58" s="16">
        <v>45549</v>
      </c>
      <c r="T58" s="16">
        <v>45594</v>
      </c>
      <c r="U58" s="16">
        <v>45578</v>
      </c>
      <c r="V58">
        <f>misuo[[#This Row],[ميعاد التسليم]]-misuo[[#This Row],[ميعاد الطلب]]</f>
        <v>45</v>
      </c>
      <c r="W58">
        <f>misuo[[#This Row],[تاريخ التسليم]]-misuo[[#This Row],[ميعاد الطلب]]</f>
        <v>29</v>
      </c>
      <c r="X58">
        <f>misuo[[#This Row],[مدة التسليم الفعلية]]-misuo[[#This Row],[مدة التسليم المتوقعة]]</f>
        <v>-16</v>
      </c>
      <c r="Y58" t="s">
        <v>173</v>
      </c>
      <c r="Z58" t="s">
        <v>172</v>
      </c>
    </row>
    <row r="59" spans="1:26" ht="20.100000000000001" customHeight="1" x14ac:dyDescent="0.2">
      <c r="A59">
        <v>1677528</v>
      </c>
      <c r="B59">
        <v>1270704</v>
      </c>
      <c r="C59" t="s">
        <v>118</v>
      </c>
      <c r="D5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59">
        <f>IF(COUNTIFS($C$2:C59, C59, $D$2:D59, D59)=1, 1, 0)</f>
        <v>0</v>
      </c>
      <c r="F59" t="s">
        <v>57</v>
      </c>
      <c r="G59" t="s">
        <v>303</v>
      </c>
      <c r="H59" t="s">
        <v>6</v>
      </c>
      <c r="I59" t="s">
        <v>136</v>
      </c>
      <c r="J59" t="s">
        <v>139</v>
      </c>
      <c r="K59" t="s">
        <v>142</v>
      </c>
      <c r="L59">
        <v>120</v>
      </c>
      <c r="M59" t="s">
        <v>150</v>
      </c>
      <c r="N59"/>
      <c r="O59">
        <v>1</v>
      </c>
      <c r="P59" t="s">
        <v>119</v>
      </c>
      <c r="Q59">
        <v>10987</v>
      </c>
      <c r="R59" t="s">
        <v>12</v>
      </c>
      <c r="S59" s="16">
        <v>45549</v>
      </c>
      <c r="T59" s="16">
        <v>45594</v>
      </c>
      <c r="U59" s="16">
        <v>45578</v>
      </c>
      <c r="V59">
        <f>misuo[[#This Row],[ميعاد التسليم]]-misuo[[#This Row],[ميعاد الطلب]]</f>
        <v>45</v>
      </c>
      <c r="W59">
        <f>misuo[[#This Row],[تاريخ التسليم]]-misuo[[#This Row],[ميعاد الطلب]]</f>
        <v>29</v>
      </c>
      <c r="X59">
        <f>misuo[[#This Row],[مدة التسليم الفعلية]]-misuo[[#This Row],[مدة التسليم المتوقعة]]</f>
        <v>-16</v>
      </c>
      <c r="Y59" t="s">
        <v>173</v>
      </c>
      <c r="Z59" t="s">
        <v>172</v>
      </c>
    </row>
    <row r="60" spans="1:26" ht="20.100000000000001" customHeight="1" x14ac:dyDescent="0.2">
      <c r="A60">
        <v>1657744</v>
      </c>
      <c r="B60">
        <v>1265268</v>
      </c>
      <c r="C60" t="s">
        <v>121</v>
      </c>
      <c r="D60"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0">
        <f>IF(COUNTIFS($C$2:C60, C60, $D$2:D60, D60)=1, 1, 0)</f>
        <v>1</v>
      </c>
      <c r="F60" t="s">
        <v>122</v>
      </c>
      <c r="G60" t="s">
        <v>304</v>
      </c>
      <c r="H60" t="s">
        <v>6</v>
      </c>
      <c r="I60" t="s">
        <v>250</v>
      </c>
      <c r="J60" t="s">
        <v>264</v>
      </c>
      <c r="K60"/>
      <c r="L60"/>
      <c r="M60"/>
      <c r="N60"/>
      <c r="O60">
        <v>1</v>
      </c>
      <c r="P60" t="s">
        <v>53</v>
      </c>
      <c r="Q60">
        <v>10319</v>
      </c>
      <c r="R60" t="s">
        <v>12</v>
      </c>
      <c r="S60" s="16">
        <v>45549</v>
      </c>
      <c r="T60" s="16">
        <v>45594</v>
      </c>
      <c r="U60" s="16">
        <v>45584</v>
      </c>
      <c r="V60">
        <f>misuo[[#This Row],[ميعاد التسليم]]-misuo[[#This Row],[ميعاد الطلب]]</f>
        <v>45</v>
      </c>
      <c r="W60">
        <f>misuo[[#This Row],[تاريخ التسليم]]-misuo[[#This Row],[ميعاد الطلب]]</f>
        <v>35</v>
      </c>
      <c r="X60">
        <f>misuo[[#This Row],[مدة التسليم الفعلية]]-misuo[[#This Row],[مدة التسليم المتوقعة]]</f>
        <v>-10</v>
      </c>
      <c r="Y60" t="s">
        <v>173</v>
      </c>
      <c r="Z60" t="s">
        <v>172</v>
      </c>
    </row>
    <row r="61" spans="1:26" ht="20.100000000000001" customHeight="1" x14ac:dyDescent="0.2">
      <c r="A61">
        <v>1610613</v>
      </c>
      <c r="B61">
        <v>1253646</v>
      </c>
      <c r="C61" t="s">
        <v>100</v>
      </c>
      <c r="D61"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1">
        <f>IF(COUNTIFS($C$2:C61, C61, $D$2:D61, D61)=1, 1, 0)</f>
        <v>1</v>
      </c>
      <c r="F61" t="s">
        <v>101</v>
      </c>
      <c r="G61" t="s">
        <v>305</v>
      </c>
      <c r="H61" t="s">
        <v>6</v>
      </c>
      <c r="I61" t="s">
        <v>136</v>
      </c>
      <c r="J61" t="s">
        <v>148</v>
      </c>
      <c r="K61" t="s">
        <v>141</v>
      </c>
      <c r="L61">
        <v>120</v>
      </c>
      <c r="M61" t="s">
        <v>155</v>
      </c>
      <c r="N61"/>
      <c r="O61">
        <v>1</v>
      </c>
      <c r="P61" t="s">
        <v>102</v>
      </c>
      <c r="Q61">
        <v>12999</v>
      </c>
      <c r="R61" t="s">
        <v>12</v>
      </c>
      <c r="S61" s="16">
        <v>45549</v>
      </c>
      <c r="T61" s="16">
        <v>45616</v>
      </c>
      <c r="U61" s="16">
        <v>45582</v>
      </c>
      <c r="V61">
        <f>misuo[[#This Row],[ميعاد التسليم]]-misuo[[#This Row],[ميعاد الطلب]]</f>
        <v>67</v>
      </c>
      <c r="W61">
        <f>misuo[[#This Row],[تاريخ التسليم]]-misuo[[#This Row],[ميعاد الطلب]]</f>
        <v>33</v>
      </c>
      <c r="X61">
        <f>misuo[[#This Row],[مدة التسليم الفعلية]]-misuo[[#This Row],[مدة التسليم المتوقعة]]</f>
        <v>-34</v>
      </c>
      <c r="Y61" t="s">
        <v>22</v>
      </c>
      <c r="Z61" t="s">
        <v>172</v>
      </c>
    </row>
    <row r="62" spans="1:26" ht="20.100000000000001" customHeight="1" x14ac:dyDescent="0.2">
      <c r="A62">
        <v>1608468</v>
      </c>
      <c r="B62">
        <v>1253172</v>
      </c>
      <c r="C62" t="s">
        <v>103</v>
      </c>
      <c r="D62"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2">
        <f>IF(COUNTIFS($C$2:C62, C62, $D$2:D62, D62)=1, 1, 0)</f>
        <v>1</v>
      </c>
      <c r="F62" t="s">
        <v>104</v>
      </c>
      <c r="G62" t="s">
        <v>302</v>
      </c>
      <c r="H62" t="s">
        <v>6</v>
      </c>
      <c r="I62" t="s">
        <v>146</v>
      </c>
      <c r="J62" t="s">
        <v>179</v>
      </c>
      <c r="K62"/>
      <c r="L62"/>
      <c r="M62" t="s">
        <v>151</v>
      </c>
      <c r="N62" t="s">
        <v>155</v>
      </c>
      <c r="O62">
        <v>1</v>
      </c>
      <c r="P62" t="s">
        <v>92</v>
      </c>
      <c r="Q62">
        <v>21999</v>
      </c>
      <c r="R62" t="s">
        <v>12</v>
      </c>
      <c r="S62" s="16">
        <v>45549</v>
      </c>
      <c r="T62" s="16">
        <v>45616</v>
      </c>
      <c r="U62" s="16"/>
      <c r="V62">
        <f>misuo[[#This Row],[ميعاد التسليم]]-misuo[[#This Row],[ميعاد الطلب]]</f>
        <v>67</v>
      </c>
      <c r="W62"/>
      <c r="X62">
        <f>misuo[[#This Row],[مدة التسليم الفعلية]]-misuo[[#This Row],[مدة التسليم المتوقعة]]</f>
        <v>-67</v>
      </c>
      <c r="Y62"/>
      <c r="Z62" t="s">
        <v>326</v>
      </c>
    </row>
    <row r="63" spans="1:26" ht="20.100000000000001" customHeight="1" x14ac:dyDescent="0.2">
      <c r="A63">
        <v>1654554</v>
      </c>
      <c r="B63">
        <v>1264469</v>
      </c>
      <c r="C63" t="s">
        <v>113</v>
      </c>
      <c r="D6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3">
        <f>IF(COUNTIFS($C$2:C63, C63, $D$2:D63, D63)=1, 1, 0)</f>
        <v>1</v>
      </c>
      <c r="F63" t="s">
        <v>77</v>
      </c>
      <c r="G63" t="s">
        <v>303</v>
      </c>
      <c r="H63" t="s">
        <v>6</v>
      </c>
      <c r="I63" t="s">
        <v>136</v>
      </c>
      <c r="J63" t="s">
        <v>148</v>
      </c>
      <c r="K63" t="s">
        <v>138</v>
      </c>
      <c r="L63">
        <v>100</v>
      </c>
      <c r="M63" t="s">
        <v>155</v>
      </c>
      <c r="N63"/>
      <c r="O63">
        <v>1</v>
      </c>
      <c r="P63" t="s">
        <v>114</v>
      </c>
      <c r="Q63">
        <v>12399</v>
      </c>
      <c r="R63" t="s">
        <v>12</v>
      </c>
      <c r="S63" s="16">
        <v>45549</v>
      </c>
      <c r="T63" s="16">
        <v>45616</v>
      </c>
      <c r="U63" s="16">
        <v>45566</v>
      </c>
      <c r="V63">
        <f>misuo[[#This Row],[ميعاد التسليم]]-misuo[[#This Row],[ميعاد الطلب]]</f>
        <v>67</v>
      </c>
      <c r="W63">
        <f>misuo[[#This Row],[تاريخ التسليم]]-misuo[[#This Row],[ميعاد الطلب]]</f>
        <v>17</v>
      </c>
      <c r="X63">
        <f>misuo[[#This Row],[مدة التسليم الفعلية]]-misuo[[#This Row],[مدة التسليم المتوقعة]]</f>
        <v>-50</v>
      </c>
      <c r="Y63" t="s">
        <v>22</v>
      </c>
      <c r="Z63" t="s">
        <v>172</v>
      </c>
    </row>
    <row r="64" spans="1:26" ht="20.100000000000001" customHeight="1" x14ac:dyDescent="0.2">
      <c r="A64">
        <v>1644504</v>
      </c>
      <c r="B64">
        <v>1261644</v>
      </c>
      <c r="C64" t="s">
        <v>120</v>
      </c>
      <c r="D6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4">
        <f>IF(COUNTIFS($C$2:C64, C64, $D$2:D64, D64)=1, 1, 0)</f>
        <v>1</v>
      </c>
      <c r="F64" t="s">
        <v>57</v>
      </c>
      <c r="G64" t="s">
        <v>303</v>
      </c>
      <c r="H64" t="s">
        <v>6</v>
      </c>
      <c r="I64" t="s">
        <v>146</v>
      </c>
      <c r="J64" t="s">
        <v>179</v>
      </c>
      <c r="K64"/>
      <c r="L64"/>
      <c r="M64" t="s">
        <v>151</v>
      </c>
      <c r="N64" t="s">
        <v>155</v>
      </c>
      <c r="O64">
        <v>1</v>
      </c>
      <c r="P64" t="s">
        <v>92</v>
      </c>
      <c r="Q64">
        <v>21999</v>
      </c>
      <c r="R64" t="s">
        <v>12</v>
      </c>
      <c r="S64" s="16">
        <v>45549</v>
      </c>
      <c r="T64" s="16">
        <v>45616</v>
      </c>
      <c r="U64" s="16">
        <v>45574</v>
      </c>
      <c r="V64">
        <f>misuo[[#This Row],[ميعاد التسليم]]-misuo[[#This Row],[ميعاد الطلب]]</f>
        <v>67</v>
      </c>
      <c r="W64">
        <f>misuo[[#This Row],[تاريخ التسليم]]-misuo[[#This Row],[ميعاد الطلب]]</f>
        <v>25</v>
      </c>
      <c r="X64">
        <f>misuo[[#This Row],[مدة التسليم الفعلية]]-misuo[[#This Row],[مدة التسليم المتوقعة]]</f>
        <v>-42</v>
      </c>
      <c r="Y64" t="s">
        <v>173</v>
      </c>
      <c r="Z64" t="s">
        <v>172</v>
      </c>
    </row>
    <row r="65" spans="1:26" ht="20.100000000000001" customHeight="1" x14ac:dyDescent="0.2">
      <c r="A65">
        <v>1655447</v>
      </c>
      <c r="B65">
        <v>1264684</v>
      </c>
      <c r="C65" t="s">
        <v>123</v>
      </c>
      <c r="D6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5">
        <f>IF(COUNTIFS($C$2:C65, C65, $D$2:D65, D65)=1, 1, 0)</f>
        <v>1</v>
      </c>
      <c r="F65" t="s">
        <v>52</v>
      </c>
      <c r="G65" t="s">
        <v>303</v>
      </c>
      <c r="H65" t="s">
        <v>6</v>
      </c>
      <c r="I65" t="s">
        <v>136</v>
      </c>
      <c r="J65" t="s">
        <v>148</v>
      </c>
      <c r="K65" t="s">
        <v>138</v>
      </c>
      <c r="L65">
        <v>80</v>
      </c>
      <c r="M65" t="s">
        <v>150</v>
      </c>
      <c r="N65"/>
      <c r="O65">
        <v>1</v>
      </c>
      <c r="P65" t="s">
        <v>124</v>
      </c>
      <c r="Q65">
        <v>10999</v>
      </c>
      <c r="R65" t="s">
        <v>12</v>
      </c>
      <c r="S65" s="16">
        <v>45549</v>
      </c>
      <c r="T65" s="16">
        <v>45616</v>
      </c>
      <c r="U65" s="16">
        <v>45581</v>
      </c>
      <c r="V65">
        <f>misuo[[#This Row],[ميعاد التسليم]]-misuo[[#This Row],[ميعاد الطلب]]</f>
        <v>67</v>
      </c>
      <c r="W65">
        <f>misuo[[#This Row],[تاريخ التسليم]]-misuo[[#This Row],[ميعاد الطلب]]</f>
        <v>32</v>
      </c>
      <c r="X65">
        <f>misuo[[#This Row],[مدة التسليم الفعلية]]-misuo[[#This Row],[مدة التسليم المتوقعة]]</f>
        <v>-35</v>
      </c>
      <c r="Y65" t="s">
        <v>173</v>
      </c>
      <c r="Z65" t="s">
        <v>172</v>
      </c>
    </row>
    <row r="66" spans="1:26" ht="20.100000000000001" customHeight="1" x14ac:dyDescent="0.2">
      <c r="A66">
        <v>1679731</v>
      </c>
      <c r="B66">
        <v>1271291</v>
      </c>
      <c r="C66" t="s">
        <v>166</v>
      </c>
      <c r="D6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6">
        <f>IF(COUNTIFS($C$2:C66, C66, $D$2:D66, D66)=1, 1, 0)</f>
        <v>1</v>
      </c>
      <c r="F66" t="s">
        <v>96</v>
      </c>
      <c r="G66" t="s">
        <v>303</v>
      </c>
      <c r="H66" t="s">
        <v>6</v>
      </c>
      <c r="I66" t="s">
        <v>136</v>
      </c>
      <c r="J66" t="s">
        <v>148</v>
      </c>
      <c r="K66" t="s">
        <v>141</v>
      </c>
      <c r="L66">
        <v>80</v>
      </c>
      <c r="M66" t="s">
        <v>150</v>
      </c>
      <c r="N66"/>
      <c r="O66">
        <v>1</v>
      </c>
      <c r="P66"/>
      <c r="Q66">
        <v>10999</v>
      </c>
      <c r="R66" t="s">
        <v>12</v>
      </c>
      <c r="S66" s="16">
        <f>DATE(2024,9,15)</f>
        <v>45550</v>
      </c>
      <c r="T66" s="16">
        <v>45616</v>
      </c>
      <c r="U66" s="16">
        <v>45581</v>
      </c>
      <c r="V66">
        <f>misuo[[#This Row],[ميعاد التسليم]]-misuo[[#This Row],[ميعاد الطلب]]</f>
        <v>66</v>
      </c>
      <c r="W66">
        <f>misuo[[#This Row],[تاريخ التسليم]]-misuo[[#This Row],[ميعاد الطلب]]</f>
        <v>31</v>
      </c>
      <c r="X66">
        <f>misuo[[#This Row],[مدة التسليم الفعلية]]-misuo[[#This Row],[مدة التسليم المتوقعة]]</f>
        <v>-35</v>
      </c>
      <c r="Y66" t="s">
        <v>173</v>
      </c>
      <c r="Z66" t="s">
        <v>172</v>
      </c>
    </row>
    <row r="67" spans="1:26" ht="20.100000000000001" customHeight="1" x14ac:dyDescent="0.2">
      <c r="A67">
        <v>1679739</v>
      </c>
      <c r="B67">
        <v>1271291</v>
      </c>
      <c r="C67" t="s">
        <v>166</v>
      </c>
      <c r="D67"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7">
        <f>IF(COUNTIFS($C$2:C67, C67, $D$2:D67, D67)=1, 1, 0)</f>
        <v>0</v>
      </c>
      <c r="F67" t="s">
        <v>96</v>
      </c>
      <c r="G67" t="s">
        <v>303</v>
      </c>
      <c r="H67" t="s">
        <v>6</v>
      </c>
      <c r="I67" t="s">
        <v>136</v>
      </c>
      <c r="J67" t="s">
        <v>148</v>
      </c>
      <c r="K67" t="s">
        <v>141</v>
      </c>
      <c r="L67">
        <v>80</v>
      </c>
      <c r="M67" t="s">
        <v>150</v>
      </c>
      <c r="N67"/>
      <c r="O67">
        <v>1</v>
      </c>
      <c r="P67"/>
      <c r="Q67">
        <v>10999</v>
      </c>
      <c r="R67" t="s">
        <v>12</v>
      </c>
      <c r="S67" s="16">
        <f t="shared" ref="S67:S68" si="0">DATE(2024,9,15)</f>
        <v>45550</v>
      </c>
      <c r="T67" s="16">
        <v>45616</v>
      </c>
      <c r="U67" s="16">
        <v>45581</v>
      </c>
      <c r="V67">
        <f>misuo[[#This Row],[ميعاد التسليم]]-misuo[[#This Row],[ميعاد الطلب]]</f>
        <v>66</v>
      </c>
      <c r="W67">
        <f>misuo[[#This Row],[تاريخ التسليم]]-misuo[[#This Row],[ميعاد الطلب]]</f>
        <v>31</v>
      </c>
      <c r="X67">
        <f>misuo[[#This Row],[مدة التسليم الفعلية]]-misuo[[#This Row],[مدة التسليم المتوقعة]]</f>
        <v>-35</v>
      </c>
      <c r="Y67" t="s">
        <v>173</v>
      </c>
      <c r="Z67" t="s">
        <v>172</v>
      </c>
    </row>
    <row r="68" spans="1:26" ht="20.100000000000001" customHeight="1" x14ac:dyDescent="0.2">
      <c r="A68">
        <v>1670668</v>
      </c>
      <c r="B68">
        <v>1268695</v>
      </c>
      <c r="C68" t="s">
        <v>167</v>
      </c>
      <c r="D68"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8">
        <f>IF(COUNTIFS($C$2:C68, C68, $D$2:D68, D68)=1, 1, 0)</f>
        <v>1</v>
      </c>
      <c r="F68" t="s">
        <v>298</v>
      </c>
      <c r="G68" t="s">
        <v>303</v>
      </c>
      <c r="H68" t="s">
        <v>6</v>
      </c>
      <c r="I68" t="s">
        <v>146</v>
      </c>
      <c r="J68" t="s">
        <v>179</v>
      </c>
      <c r="K68"/>
      <c r="L68"/>
      <c r="M68" t="s">
        <v>151</v>
      </c>
      <c r="N68" t="s">
        <v>155</v>
      </c>
      <c r="O68">
        <v>1</v>
      </c>
      <c r="P68"/>
      <c r="Q68">
        <v>21999</v>
      </c>
      <c r="R68" t="s">
        <v>12</v>
      </c>
      <c r="S68" s="16">
        <f t="shared" si="0"/>
        <v>45550</v>
      </c>
      <c r="T68" s="16">
        <v>45616</v>
      </c>
      <c r="U68" s="16">
        <v>45584</v>
      </c>
      <c r="V68">
        <f>misuo[[#This Row],[ميعاد التسليم]]-misuo[[#This Row],[ميعاد الطلب]]</f>
        <v>66</v>
      </c>
      <c r="W68">
        <f>misuo[[#This Row],[تاريخ التسليم]]-misuo[[#This Row],[ميعاد الطلب]]</f>
        <v>34</v>
      </c>
      <c r="X68">
        <f>misuo[[#This Row],[مدة التسليم الفعلية]]-misuo[[#This Row],[مدة التسليم المتوقعة]]</f>
        <v>-32</v>
      </c>
      <c r="Y68" t="s">
        <v>173</v>
      </c>
      <c r="Z68" t="s">
        <v>172</v>
      </c>
    </row>
    <row r="69" spans="1:26" ht="20.100000000000001" customHeight="1" x14ac:dyDescent="0.2">
      <c r="A69">
        <v>1416625</v>
      </c>
      <c r="B69">
        <v>1205197</v>
      </c>
      <c r="C69" t="s">
        <v>171</v>
      </c>
      <c r="D6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69">
        <f>IF(COUNTIFS($C$2:C69, C69, $D$2:D69, D69)=1, 1, 0)</f>
        <v>1</v>
      </c>
      <c r="F69" t="s">
        <v>131</v>
      </c>
      <c r="G69" t="s">
        <v>184</v>
      </c>
      <c r="H69" t="s">
        <v>6</v>
      </c>
      <c r="I69" t="s">
        <v>250</v>
      </c>
      <c r="J69" t="s">
        <v>264</v>
      </c>
      <c r="K69"/>
      <c r="L69"/>
      <c r="M69"/>
      <c r="N69"/>
      <c r="O69">
        <v>1</v>
      </c>
      <c r="P69"/>
      <c r="Q69">
        <v>7849</v>
      </c>
      <c r="R69" t="s">
        <v>294</v>
      </c>
      <c r="S69" s="16">
        <f>DATE(2024,9,16)</f>
        <v>45551</v>
      </c>
      <c r="T69" s="16">
        <v>45595</v>
      </c>
      <c r="U69" s="16">
        <v>45610</v>
      </c>
      <c r="V69">
        <f>misuo[[#This Row],[ميعاد التسليم]]-misuo[[#This Row],[ميعاد الطلب]]</f>
        <v>44</v>
      </c>
      <c r="W69">
        <f>misuo[[#This Row],[تاريخ التسليم]]-misuo[[#This Row],[ميعاد الطلب]]</f>
        <v>59</v>
      </c>
      <c r="X69">
        <f>misuo[[#This Row],[مدة التسليم الفعلية]]-misuo[[#This Row],[مدة التسليم المتوقعة]]</f>
        <v>15</v>
      </c>
      <c r="Y69" t="s">
        <v>22</v>
      </c>
      <c r="Z69" t="s">
        <v>172</v>
      </c>
    </row>
    <row r="70" spans="1:26" ht="20.100000000000001" customHeight="1" x14ac:dyDescent="0.2">
      <c r="A70"/>
      <c r="B70"/>
      <c r="C70" t="s">
        <v>72</v>
      </c>
      <c r="D70"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70">
        <f>IF(COUNTIFS($C$2:C70, C70, $D$2:D70, D70)=1, 1, 0)</f>
        <v>0</v>
      </c>
      <c r="F70" t="s">
        <v>174</v>
      </c>
      <c r="G70" t="s">
        <v>304</v>
      </c>
      <c r="H70" t="s">
        <v>46</v>
      </c>
      <c r="I70" t="s">
        <v>136</v>
      </c>
      <c r="J70" t="s">
        <v>148</v>
      </c>
      <c r="K70" t="s">
        <v>141</v>
      </c>
      <c r="L70">
        <v>80</v>
      </c>
      <c r="M70" t="s">
        <v>150</v>
      </c>
      <c r="N70"/>
      <c r="O70">
        <v>1</v>
      </c>
      <c r="P70"/>
      <c r="Q70">
        <v>5074</v>
      </c>
      <c r="R70" t="s">
        <v>74</v>
      </c>
      <c r="S70" s="16">
        <v>45556</v>
      </c>
      <c r="T70" s="16">
        <v>45570</v>
      </c>
      <c r="U70" s="16">
        <v>45577</v>
      </c>
      <c r="V70">
        <f>misuo[[#This Row],[ميعاد التسليم]]-misuo[[#This Row],[ميعاد الطلب]]</f>
        <v>14</v>
      </c>
      <c r="W70">
        <f>misuo[[#This Row],[تاريخ التسليم]]-misuo[[#This Row],[ميعاد الطلب]]</f>
        <v>21</v>
      </c>
      <c r="X70">
        <f>misuo[[#This Row],[مدة التسليم الفعلية]]-misuo[[#This Row],[مدة التسليم المتوقعة]]</f>
        <v>7</v>
      </c>
      <c r="Y70" t="s">
        <v>173</v>
      </c>
      <c r="Z70" t="s">
        <v>172</v>
      </c>
    </row>
    <row r="71" spans="1:26" ht="20.100000000000001" customHeight="1" x14ac:dyDescent="0.2">
      <c r="A71">
        <v>2514</v>
      </c>
      <c r="B71">
        <v>2514</v>
      </c>
      <c r="C71" t="s">
        <v>33</v>
      </c>
      <c r="D71"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71">
        <f>IF(COUNTIFS($C$2:C71, C71, $D$2:D71, D71)=1, 1, 0)</f>
        <v>0</v>
      </c>
      <c r="F71" t="s">
        <v>32</v>
      </c>
      <c r="G71" t="s">
        <v>303</v>
      </c>
      <c r="H71" t="s">
        <v>33</v>
      </c>
      <c r="I71" t="s">
        <v>136</v>
      </c>
      <c r="J71" t="s">
        <v>148</v>
      </c>
      <c r="K71" t="s">
        <v>140</v>
      </c>
      <c r="L71">
        <v>100</v>
      </c>
      <c r="M71" t="s">
        <v>175</v>
      </c>
      <c r="N71"/>
      <c r="O71">
        <v>1</v>
      </c>
      <c r="P71"/>
      <c r="Q71">
        <v>6250</v>
      </c>
      <c r="R71" t="s">
        <v>74</v>
      </c>
      <c r="S71" s="16">
        <v>45558</v>
      </c>
      <c r="T71" s="16">
        <v>45573</v>
      </c>
      <c r="U71" s="16">
        <v>45582</v>
      </c>
      <c r="V71">
        <f>misuo[[#This Row],[ميعاد التسليم]]-misuo[[#This Row],[ميعاد الطلب]]</f>
        <v>15</v>
      </c>
      <c r="W71">
        <f>misuo[[#This Row],[تاريخ التسليم]]-misuo[[#This Row],[ميعاد الطلب]]</f>
        <v>24</v>
      </c>
      <c r="X71">
        <f>misuo[[#This Row],[مدة التسليم الفعلية]]-misuo[[#This Row],[مدة التسليم المتوقعة]]</f>
        <v>9</v>
      </c>
      <c r="Y71" t="s">
        <v>173</v>
      </c>
      <c r="Z71" t="s">
        <v>172</v>
      </c>
    </row>
    <row r="72" spans="1:26" ht="20.100000000000001" customHeight="1" x14ac:dyDescent="0.2">
      <c r="A72">
        <v>2514</v>
      </c>
      <c r="B72">
        <v>2514</v>
      </c>
      <c r="C72" t="s">
        <v>33</v>
      </c>
      <c r="D72"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72">
        <f>IF(COUNTIFS($C$2:C72, C72, $D$2:D72, D72)=1, 1, 0)</f>
        <v>0</v>
      </c>
      <c r="F72" t="s">
        <v>32</v>
      </c>
      <c r="G72" t="s">
        <v>303</v>
      </c>
      <c r="H72" t="s">
        <v>33</v>
      </c>
      <c r="I72" t="s">
        <v>136</v>
      </c>
      <c r="J72" t="s">
        <v>148</v>
      </c>
      <c r="K72" t="s">
        <v>140</v>
      </c>
      <c r="L72">
        <v>100</v>
      </c>
      <c r="M72" t="s">
        <v>175</v>
      </c>
      <c r="N72"/>
      <c r="O72">
        <v>1</v>
      </c>
      <c r="P72"/>
      <c r="Q72">
        <v>6250</v>
      </c>
      <c r="R72" t="s">
        <v>74</v>
      </c>
      <c r="S72" s="16">
        <v>45558</v>
      </c>
      <c r="T72" s="16">
        <v>45573</v>
      </c>
      <c r="U72" s="16">
        <v>45582</v>
      </c>
      <c r="V72">
        <f>misuo[[#This Row],[ميعاد التسليم]]-misuo[[#This Row],[ميعاد الطلب]]</f>
        <v>15</v>
      </c>
      <c r="W72">
        <f>misuo[[#This Row],[تاريخ التسليم]]-misuo[[#This Row],[ميعاد الطلب]]</f>
        <v>24</v>
      </c>
      <c r="X72">
        <f>misuo[[#This Row],[مدة التسليم الفعلية]]-misuo[[#This Row],[مدة التسليم المتوقعة]]</f>
        <v>9</v>
      </c>
      <c r="Y72" t="s">
        <v>173</v>
      </c>
      <c r="Z72" t="s">
        <v>172</v>
      </c>
    </row>
    <row r="73" spans="1:26" ht="20.100000000000001" customHeight="1" x14ac:dyDescent="0.2">
      <c r="A73">
        <v>1706794</v>
      </c>
      <c r="B73">
        <v>1281428</v>
      </c>
      <c r="C73" t="s">
        <v>176</v>
      </c>
      <c r="D7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73">
        <f>IF(COUNTIFS($C$2:C73, C73, $D$2:D73, D73)=1, 1, 0)</f>
        <v>1</v>
      </c>
      <c r="F73" t="s">
        <v>32</v>
      </c>
      <c r="G73" t="s">
        <v>303</v>
      </c>
      <c r="H73" t="s">
        <v>6</v>
      </c>
      <c r="I73" t="s">
        <v>136</v>
      </c>
      <c r="J73" t="s">
        <v>139</v>
      </c>
      <c r="K73" t="s">
        <v>160</v>
      </c>
      <c r="L73">
        <v>120</v>
      </c>
      <c r="M73" t="s">
        <v>150</v>
      </c>
      <c r="N73"/>
      <c r="O73">
        <v>1</v>
      </c>
      <c r="P73"/>
      <c r="Q73">
        <v>8943</v>
      </c>
      <c r="R73" t="s">
        <v>294</v>
      </c>
      <c r="S73" s="16">
        <v>45561</v>
      </c>
      <c r="T73" s="16">
        <v>45606</v>
      </c>
      <c r="U73" s="16">
        <v>45575</v>
      </c>
      <c r="V73">
        <f>misuo[[#This Row],[ميعاد التسليم]]-misuo[[#This Row],[ميعاد الطلب]]</f>
        <v>45</v>
      </c>
      <c r="W73">
        <f>misuo[[#This Row],[تاريخ التسليم]]-misuo[[#This Row],[ميعاد الطلب]]</f>
        <v>14</v>
      </c>
      <c r="X73">
        <f>misuo[[#This Row],[مدة التسليم الفعلية]]-misuo[[#This Row],[مدة التسليم المتوقعة]]</f>
        <v>-31</v>
      </c>
      <c r="Y73" t="s">
        <v>173</v>
      </c>
      <c r="Z73" t="s">
        <v>172</v>
      </c>
    </row>
    <row r="74" spans="1:26" ht="20.100000000000001" customHeight="1" x14ac:dyDescent="0.2">
      <c r="A74">
        <v>1704621</v>
      </c>
      <c r="B74">
        <v>1280197</v>
      </c>
      <c r="C74" t="s">
        <v>177</v>
      </c>
      <c r="D7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74">
        <f>IF(COUNTIFS($C$2:C74, C74, $D$2:D74, D74)=1, 1, 0)</f>
        <v>1</v>
      </c>
      <c r="F74" t="s">
        <v>178</v>
      </c>
      <c r="G74" t="s">
        <v>299</v>
      </c>
      <c r="H74" t="s">
        <v>6</v>
      </c>
      <c r="I74" t="s">
        <v>250</v>
      </c>
      <c r="J74" t="s">
        <v>169</v>
      </c>
      <c r="K74"/>
      <c r="L74"/>
      <c r="M74"/>
      <c r="N74"/>
      <c r="O74">
        <v>1</v>
      </c>
      <c r="P74"/>
      <c r="Q74">
        <v>8349</v>
      </c>
      <c r="R74" t="s">
        <v>294</v>
      </c>
      <c r="S74" s="16">
        <v>45561</v>
      </c>
      <c r="T74" s="16">
        <v>45606</v>
      </c>
      <c r="U74" s="16"/>
      <c r="V74">
        <f>misuo[[#This Row],[ميعاد التسليم]]-misuo[[#This Row],[ميعاد الطلب]]</f>
        <v>45</v>
      </c>
      <c r="W74"/>
      <c r="X74">
        <f>misuo[[#This Row],[مدة التسليم الفعلية]]-misuo[[#This Row],[مدة التسليم المتوقعة]]</f>
        <v>-45</v>
      </c>
      <c r="Y74"/>
      <c r="Z74" t="s">
        <v>326</v>
      </c>
    </row>
    <row r="75" spans="1:26" ht="20.100000000000001" customHeight="1" x14ac:dyDescent="0.2">
      <c r="A75">
        <v>240078066</v>
      </c>
      <c r="B75"/>
      <c r="C75" t="s">
        <v>42</v>
      </c>
      <c r="D75"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75">
        <f>IF(COUNTIFS($C$2:C75, C75, $D$2:D75, D75)=1, 1, 0)</f>
        <v>0</v>
      </c>
      <c r="F75" t="s">
        <v>199</v>
      </c>
      <c r="G75" t="s">
        <v>303</v>
      </c>
      <c r="H75" t="s">
        <v>42</v>
      </c>
      <c r="I75" t="s">
        <v>146</v>
      </c>
      <c r="J75" t="s">
        <v>179</v>
      </c>
      <c r="K75"/>
      <c r="L75"/>
      <c r="M75"/>
      <c r="N75" t="s">
        <v>192</v>
      </c>
      <c r="O75">
        <v>1</v>
      </c>
      <c r="P75"/>
      <c r="Q75">
        <v>14950</v>
      </c>
      <c r="R75" t="s">
        <v>12</v>
      </c>
      <c r="S75" s="16">
        <v>45561</v>
      </c>
      <c r="T75" s="16">
        <v>45579</v>
      </c>
      <c r="U75" s="16">
        <v>45578</v>
      </c>
      <c r="V75">
        <f>misuo[[#This Row],[ميعاد التسليم]]-misuo[[#This Row],[ميعاد الطلب]]</f>
        <v>18</v>
      </c>
      <c r="W75">
        <f>misuo[[#This Row],[تاريخ التسليم]]-misuo[[#This Row],[ميعاد الطلب]]</f>
        <v>17</v>
      </c>
      <c r="X75">
        <f>misuo[[#This Row],[مدة التسليم الفعلية]]-misuo[[#This Row],[مدة التسليم المتوقعة]]</f>
        <v>-1</v>
      </c>
      <c r="Y75" t="s">
        <v>173</v>
      </c>
      <c r="Z75" t="s">
        <v>172</v>
      </c>
    </row>
    <row r="76" spans="1:26" ht="20.100000000000001" customHeight="1" x14ac:dyDescent="0.2">
      <c r="A76">
        <v>240077789</v>
      </c>
      <c r="B76"/>
      <c r="C76" t="s">
        <v>42</v>
      </c>
      <c r="D76"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76">
        <f>IF(COUNTIFS($C$2:C76, C76, $D$2:D76, D76)=1, 1, 0)</f>
        <v>0</v>
      </c>
      <c r="F76"/>
      <c r="G76"/>
      <c r="H76" t="s">
        <v>42</v>
      </c>
      <c r="I76" t="s">
        <v>136</v>
      </c>
      <c r="J76" t="s">
        <v>148</v>
      </c>
      <c r="K76" t="s">
        <v>140</v>
      </c>
      <c r="L76">
        <v>100</v>
      </c>
      <c r="M76" t="s">
        <v>180</v>
      </c>
      <c r="N76"/>
      <c r="O76">
        <v>1</v>
      </c>
      <c r="P76"/>
      <c r="Q76">
        <v>9208</v>
      </c>
      <c r="R76" t="s">
        <v>294</v>
      </c>
      <c r="S76" s="16">
        <v>45561</v>
      </c>
      <c r="T76" s="16">
        <v>45579</v>
      </c>
      <c r="U76" s="16"/>
      <c r="V76">
        <f>misuo[[#This Row],[ميعاد التسليم]]-misuo[[#This Row],[ميعاد الطلب]]</f>
        <v>18</v>
      </c>
      <c r="W76"/>
      <c r="X76">
        <f>misuo[[#This Row],[مدة التسليم الفعلية]]-misuo[[#This Row],[مدة التسليم المتوقعة]]</f>
        <v>-18</v>
      </c>
      <c r="Y76"/>
      <c r="Z76" t="s">
        <v>326</v>
      </c>
    </row>
    <row r="77" spans="1:26" ht="20.100000000000001" customHeight="1" x14ac:dyDescent="0.2">
      <c r="A77">
        <v>240078390</v>
      </c>
      <c r="B77"/>
      <c r="C77" t="s">
        <v>42</v>
      </c>
      <c r="D77"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77">
        <f>IF(COUNTIFS($C$2:C77, C77, $D$2:D77, D77)=1, 1, 0)</f>
        <v>0</v>
      </c>
      <c r="F77"/>
      <c r="G77"/>
      <c r="H77" t="s">
        <v>42</v>
      </c>
      <c r="I77" t="s">
        <v>136</v>
      </c>
      <c r="J77" t="s">
        <v>139</v>
      </c>
      <c r="K77" t="s">
        <v>142</v>
      </c>
      <c r="L77">
        <v>120</v>
      </c>
      <c r="M77" t="s">
        <v>150</v>
      </c>
      <c r="N77"/>
      <c r="O77">
        <v>1</v>
      </c>
      <c r="P77"/>
      <c r="Q77">
        <v>7433</v>
      </c>
      <c r="R77" t="s">
        <v>12</v>
      </c>
      <c r="S77" s="16">
        <v>45564</v>
      </c>
      <c r="T77" s="16">
        <v>45585</v>
      </c>
      <c r="U77" s="16">
        <v>45586</v>
      </c>
      <c r="V77">
        <f>misuo[[#This Row],[ميعاد التسليم]]-misuo[[#This Row],[ميعاد الطلب]]</f>
        <v>21</v>
      </c>
      <c r="W77">
        <f>misuo[[#This Row],[تاريخ التسليم]]-misuo[[#This Row],[ميعاد الطلب]]</f>
        <v>22</v>
      </c>
      <c r="X77">
        <f>misuo[[#This Row],[مدة التسليم الفعلية]]-misuo[[#This Row],[مدة التسليم المتوقعة]]</f>
        <v>1</v>
      </c>
      <c r="Y77" t="s">
        <v>173</v>
      </c>
      <c r="Z77" t="s">
        <v>172</v>
      </c>
    </row>
    <row r="78" spans="1:26" ht="20.100000000000001" customHeight="1" x14ac:dyDescent="0.2">
      <c r="A78"/>
      <c r="B78"/>
      <c r="C78" t="s">
        <v>72</v>
      </c>
      <c r="D78"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78">
        <f>IF(COUNTIFS($C$2:C78, C78, $D$2:D78, D78)=1, 1, 0)</f>
        <v>0</v>
      </c>
      <c r="F78" t="s">
        <v>174</v>
      </c>
      <c r="G78" t="s">
        <v>304</v>
      </c>
      <c r="H78" t="s">
        <v>46</v>
      </c>
      <c r="I78" t="s">
        <v>136</v>
      </c>
      <c r="J78" t="s">
        <v>139</v>
      </c>
      <c r="K78" t="s">
        <v>160</v>
      </c>
      <c r="L78">
        <v>120</v>
      </c>
      <c r="M78" t="s">
        <v>150</v>
      </c>
      <c r="N78"/>
      <c r="O78">
        <v>1</v>
      </c>
      <c r="P78"/>
      <c r="Q78">
        <v>4020</v>
      </c>
      <c r="R78" t="s">
        <v>74</v>
      </c>
      <c r="S78" s="16">
        <v>45564</v>
      </c>
      <c r="T78" s="16">
        <v>45577</v>
      </c>
      <c r="U78" s="16">
        <v>45577</v>
      </c>
      <c r="V78">
        <f>misuo[[#This Row],[ميعاد التسليم]]-misuo[[#This Row],[ميعاد الطلب]]</f>
        <v>13</v>
      </c>
      <c r="W78">
        <f>misuo[[#This Row],[تاريخ التسليم]]-misuo[[#This Row],[ميعاد الطلب]]</f>
        <v>13</v>
      </c>
      <c r="X78">
        <f>misuo[[#This Row],[مدة التسليم الفعلية]]-misuo[[#This Row],[مدة التسليم المتوقعة]]</f>
        <v>0</v>
      </c>
      <c r="Y78" t="s">
        <v>173</v>
      </c>
      <c r="Z78" t="s">
        <v>172</v>
      </c>
    </row>
    <row r="79" spans="1:26" ht="20.100000000000001" customHeight="1" x14ac:dyDescent="0.2">
      <c r="A79"/>
      <c r="B79"/>
      <c r="C79" t="s">
        <v>182</v>
      </c>
      <c r="D7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79">
        <f>IF(COUNTIFS($C$2:C79, C79, $D$2:D79, D79)=1, 1, 0)</f>
        <v>1</v>
      </c>
      <c r="F79" t="s">
        <v>183</v>
      </c>
      <c r="G79" t="s">
        <v>184</v>
      </c>
      <c r="H79" t="s">
        <v>184</v>
      </c>
      <c r="I79" t="s">
        <v>136</v>
      </c>
      <c r="J79" t="s">
        <v>148</v>
      </c>
      <c r="K79" t="s">
        <v>185</v>
      </c>
      <c r="L79">
        <v>100</v>
      </c>
      <c r="M79" t="s">
        <v>186</v>
      </c>
      <c r="N79"/>
      <c r="O79">
        <v>1</v>
      </c>
      <c r="P79"/>
      <c r="Q79" s="15">
        <v>8544.9054400000005</v>
      </c>
      <c r="R79" t="s">
        <v>328</v>
      </c>
      <c r="S79" s="16">
        <v>45566</v>
      </c>
      <c r="T79" s="16">
        <v>45574</v>
      </c>
      <c r="U79" s="16">
        <v>45574</v>
      </c>
      <c r="V79">
        <f>misuo[[#This Row],[ميعاد التسليم]]-misuo[[#This Row],[ميعاد الطلب]]</f>
        <v>8</v>
      </c>
      <c r="W79">
        <f>misuo[[#This Row],[تاريخ التسليم]]-misuo[[#This Row],[ميعاد الطلب]]</f>
        <v>8</v>
      </c>
      <c r="X79">
        <f>misuo[[#This Row],[مدة التسليم الفعلية]]-misuo[[#This Row],[مدة التسليم المتوقعة]]</f>
        <v>0</v>
      </c>
      <c r="Y79" t="s">
        <v>197</v>
      </c>
      <c r="Z79" t="s">
        <v>172</v>
      </c>
    </row>
    <row r="80" spans="1:26" ht="20.100000000000001" customHeight="1" x14ac:dyDescent="0.2">
      <c r="A80"/>
      <c r="B80"/>
      <c r="C80" t="s">
        <v>182</v>
      </c>
      <c r="D80"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80">
        <f>IF(COUNTIFS($C$2:C80, C80, $D$2:D80, D80)=1, 1, 0)</f>
        <v>0</v>
      </c>
      <c r="F80" t="s">
        <v>183</v>
      </c>
      <c r="G80" t="s">
        <v>184</v>
      </c>
      <c r="H80" t="s">
        <v>184</v>
      </c>
      <c r="I80" t="s">
        <v>136</v>
      </c>
      <c r="J80" t="s">
        <v>137</v>
      </c>
      <c r="K80"/>
      <c r="L80"/>
      <c r="M80" t="s">
        <v>189</v>
      </c>
      <c r="N80" t="s">
        <v>190</v>
      </c>
      <c r="O80">
        <v>1</v>
      </c>
      <c r="P80"/>
      <c r="Q80">
        <v>4600</v>
      </c>
      <c r="R80" t="s">
        <v>328</v>
      </c>
      <c r="S80" s="16">
        <v>45566</v>
      </c>
      <c r="T80" s="16">
        <v>45574</v>
      </c>
      <c r="U80" s="16">
        <v>45574</v>
      </c>
      <c r="V80">
        <f>misuo[[#This Row],[ميعاد التسليم]]-misuo[[#This Row],[ميعاد الطلب]]</f>
        <v>8</v>
      </c>
      <c r="W80">
        <f>misuo[[#This Row],[تاريخ التسليم]]-misuo[[#This Row],[ميعاد الطلب]]</f>
        <v>8</v>
      </c>
      <c r="X80">
        <f>misuo[[#This Row],[مدة التسليم الفعلية]]-misuo[[#This Row],[مدة التسليم المتوقعة]]</f>
        <v>0</v>
      </c>
      <c r="Y80" t="s">
        <v>197</v>
      </c>
      <c r="Z80" t="s">
        <v>172</v>
      </c>
    </row>
    <row r="81" spans="1:26" ht="20.100000000000001" customHeight="1" x14ac:dyDescent="0.2">
      <c r="A81"/>
      <c r="B81"/>
      <c r="C81" t="s">
        <v>182</v>
      </c>
      <c r="D81"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81">
        <f>IF(COUNTIFS($C$2:C81, C81, $D$2:D81, D81)=1, 1, 0)</f>
        <v>0</v>
      </c>
      <c r="F81" t="s">
        <v>183</v>
      </c>
      <c r="G81" t="s">
        <v>184</v>
      </c>
      <c r="H81" t="s">
        <v>184</v>
      </c>
      <c r="I81" t="s">
        <v>146</v>
      </c>
      <c r="J81" t="s">
        <v>187</v>
      </c>
      <c r="K81"/>
      <c r="L81"/>
      <c r="M81" t="s">
        <v>151</v>
      </c>
      <c r="N81" t="s">
        <v>188</v>
      </c>
      <c r="O81">
        <v>1</v>
      </c>
      <c r="P81"/>
      <c r="Q81">
        <v>10000</v>
      </c>
      <c r="R81" t="s">
        <v>328</v>
      </c>
      <c r="S81" s="16">
        <v>45566</v>
      </c>
      <c r="T81" s="16">
        <v>45574</v>
      </c>
      <c r="U81" s="16">
        <v>45574</v>
      </c>
      <c r="V81">
        <f>misuo[[#This Row],[ميعاد التسليم]]-misuo[[#This Row],[ميعاد الطلب]]</f>
        <v>8</v>
      </c>
      <c r="W81">
        <f>misuo[[#This Row],[تاريخ التسليم]]-misuo[[#This Row],[ميعاد الطلب]]</f>
        <v>8</v>
      </c>
      <c r="X81">
        <f>misuo[[#This Row],[مدة التسليم الفعلية]]-misuo[[#This Row],[مدة التسليم المتوقعة]]</f>
        <v>0</v>
      </c>
      <c r="Y81" t="s">
        <v>197</v>
      </c>
      <c r="Z81" t="s">
        <v>172</v>
      </c>
    </row>
    <row r="82" spans="1:26" ht="20.100000000000001" customHeight="1" x14ac:dyDescent="0.2">
      <c r="A82"/>
      <c r="B82"/>
      <c r="C82" t="s">
        <v>182</v>
      </c>
      <c r="D82"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82">
        <f>IF(COUNTIFS($C$2:C82, C82, $D$2:D82, D82)=1, 1, 0)</f>
        <v>0</v>
      </c>
      <c r="F82" t="s">
        <v>183</v>
      </c>
      <c r="G82" t="s">
        <v>184</v>
      </c>
      <c r="H82" t="s">
        <v>184</v>
      </c>
      <c r="I82" t="s">
        <v>191</v>
      </c>
      <c r="J82"/>
      <c r="K82"/>
      <c r="L82"/>
      <c r="M82" t="s">
        <v>151</v>
      </c>
      <c r="N82" t="s">
        <v>192</v>
      </c>
      <c r="O82">
        <v>1</v>
      </c>
      <c r="P82"/>
      <c r="Q82">
        <v>10000</v>
      </c>
      <c r="R82" t="s">
        <v>328</v>
      </c>
      <c r="S82" s="16">
        <v>45566</v>
      </c>
      <c r="T82" s="16">
        <v>45574</v>
      </c>
      <c r="U82" s="16">
        <v>45574</v>
      </c>
      <c r="V82">
        <f>misuo[[#This Row],[ميعاد التسليم]]-misuo[[#This Row],[ميعاد الطلب]]</f>
        <v>8</v>
      </c>
      <c r="W82">
        <f>misuo[[#This Row],[تاريخ التسليم]]-misuo[[#This Row],[ميعاد الطلب]]</f>
        <v>8</v>
      </c>
      <c r="X82">
        <f>misuo[[#This Row],[مدة التسليم الفعلية]]-misuo[[#This Row],[مدة التسليم المتوقعة]]</f>
        <v>0</v>
      </c>
      <c r="Y82" t="s">
        <v>197</v>
      </c>
      <c r="Z82" t="s">
        <v>172</v>
      </c>
    </row>
    <row r="83" spans="1:26" ht="20.100000000000001" customHeight="1" x14ac:dyDescent="0.2">
      <c r="A83">
        <v>1282228</v>
      </c>
      <c r="B83">
        <v>1708226</v>
      </c>
      <c r="C83" t="s">
        <v>193</v>
      </c>
      <c r="D8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83">
        <f>IF(COUNTIFS($C$2:C83, C83, $D$2:D83, D83)=1, 1, 0)</f>
        <v>1</v>
      </c>
      <c r="F83" t="s">
        <v>194</v>
      </c>
      <c r="G83" t="s">
        <v>303</v>
      </c>
      <c r="H83" t="s">
        <v>6</v>
      </c>
      <c r="I83" t="s">
        <v>136</v>
      </c>
      <c r="J83" t="s">
        <v>137</v>
      </c>
      <c r="K83"/>
      <c r="L83"/>
      <c r="M83" t="s">
        <v>151</v>
      </c>
      <c r="N83" t="s">
        <v>151</v>
      </c>
      <c r="O83">
        <v>1</v>
      </c>
      <c r="P83"/>
      <c r="Q83">
        <v>8899</v>
      </c>
      <c r="R83" t="s">
        <v>294</v>
      </c>
      <c r="S83" s="16">
        <v>45568</v>
      </c>
      <c r="T83" s="16">
        <v>45613</v>
      </c>
      <c r="U83" s="16"/>
      <c r="V83">
        <f>misuo[[#This Row],[ميعاد التسليم]]-misuo[[#This Row],[ميعاد الطلب]]</f>
        <v>45</v>
      </c>
      <c r="W83"/>
      <c r="X83">
        <f>misuo[[#This Row],[مدة التسليم الفعلية]]-misuo[[#This Row],[مدة التسليم المتوقعة]]</f>
        <v>-45</v>
      </c>
      <c r="Y83"/>
      <c r="Z83" t="s">
        <v>326</v>
      </c>
    </row>
    <row r="84" spans="1:26" ht="20.100000000000001" customHeight="1" x14ac:dyDescent="0.2">
      <c r="A84">
        <v>240079328</v>
      </c>
      <c r="B84"/>
      <c r="C84" t="s">
        <v>42</v>
      </c>
      <c r="D84"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84">
        <f>IF(COUNTIFS($C$2:C84, C84, $D$2:D84, D84)=1, 1, 0)</f>
        <v>0</v>
      </c>
      <c r="F84" t="s">
        <v>195</v>
      </c>
      <c r="G84"/>
      <c r="H84" t="s">
        <v>42</v>
      </c>
      <c r="I84" t="s">
        <v>146</v>
      </c>
      <c r="J84" t="s">
        <v>179</v>
      </c>
      <c r="K84"/>
      <c r="L84"/>
      <c r="M84" t="s">
        <v>180</v>
      </c>
      <c r="N84" t="s">
        <v>196</v>
      </c>
      <c r="O84">
        <v>1</v>
      </c>
      <c r="P84"/>
      <c r="Q84">
        <v>14550</v>
      </c>
      <c r="R84" t="s">
        <v>12</v>
      </c>
      <c r="S84" s="16">
        <v>45573</v>
      </c>
      <c r="T84" s="16">
        <v>45594</v>
      </c>
      <c r="U84" s="16">
        <v>45595</v>
      </c>
      <c r="V84">
        <f>misuo[[#This Row],[ميعاد التسليم]]-misuo[[#This Row],[ميعاد الطلب]]</f>
        <v>21</v>
      </c>
      <c r="W84">
        <f>misuo[[#This Row],[تاريخ التسليم]]-misuo[[#This Row],[ميعاد الطلب]]</f>
        <v>22</v>
      </c>
      <c r="X84">
        <f>misuo[[#This Row],[مدة التسليم الفعلية]]-misuo[[#This Row],[مدة التسليم المتوقعة]]</f>
        <v>1</v>
      </c>
      <c r="Y84" t="s">
        <v>173</v>
      </c>
      <c r="Z84" t="s">
        <v>172</v>
      </c>
    </row>
    <row r="85" spans="1:26" ht="20.100000000000001" customHeight="1" x14ac:dyDescent="0.2">
      <c r="A85">
        <v>240078933</v>
      </c>
      <c r="B85"/>
      <c r="C85" t="s">
        <v>42</v>
      </c>
      <c r="D85"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85">
        <f>IF(COUNTIFS($C$2:C85, C85, $D$2:D85, D85)=1, 1, 0)</f>
        <v>0</v>
      </c>
      <c r="F85" t="s">
        <v>198</v>
      </c>
      <c r="G85" t="s">
        <v>299</v>
      </c>
      <c r="H85" t="s">
        <v>42</v>
      </c>
      <c r="I85" t="s">
        <v>146</v>
      </c>
      <c r="J85" t="s">
        <v>179</v>
      </c>
      <c r="K85"/>
      <c r="L85"/>
      <c r="M85" t="s">
        <v>180</v>
      </c>
      <c r="N85" t="s">
        <v>196</v>
      </c>
      <c r="O85">
        <v>1</v>
      </c>
      <c r="P85"/>
      <c r="Q85">
        <v>14550</v>
      </c>
      <c r="R85" t="s">
        <v>12</v>
      </c>
      <c r="S85" s="16">
        <v>45572</v>
      </c>
      <c r="T85" s="16">
        <v>45594</v>
      </c>
      <c r="U85" s="16">
        <v>45580</v>
      </c>
      <c r="V85">
        <f>misuo[[#This Row],[ميعاد التسليم]]-misuo[[#This Row],[ميعاد الطلب]]</f>
        <v>22</v>
      </c>
      <c r="W85">
        <f>misuo[[#This Row],[تاريخ التسليم]]-misuo[[#This Row],[ميعاد الطلب]]</f>
        <v>8</v>
      </c>
      <c r="X85">
        <f>misuo[[#This Row],[مدة التسليم الفعلية]]-misuo[[#This Row],[مدة التسليم المتوقعة]]</f>
        <v>-14</v>
      </c>
      <c r="Y85" t="s">
        <v>173</v>
      </c>
      <c r="Z85" t="s">
        <v>172</v>
      </c>
    </row>
    <row r="86" spans="1:26" ht="20.100000000000001" customHeight="1" x14ac:dyDescent="0.2">
      <c r="A86">
        <v>240079517</v>
      </c>
      <c r="B86"/>
      <c r="C86" t="s">
        <v>42</v>
      </c>
      <c r="D86"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86">
        <f>IF(COUNTIFS($C$2:C86, C86, $D$2:D86, D86)=1, 1, 0)</f>
        <v>0</v>
      </c>
      <c r="F86"/>
      <c r="G86"/>
      <c r="H86" t="s">
        <v>42</v>
      </c>
      <c r="I86" t="s">
        <v>146</v>
      </c>
      <c r="J86" t="s">
        <v>179</v>
      </c>
      <c r="K86"/>
      <c r="L86"/>
      <c r="M86" t="s">
        <v>180</v>
      </c>
      <c r="N86" t="s">
        <v>192</v>
      </c>
      <c r="O86">
        <v>1</v>
      </c>
      <c r="P86"/>
      <c r="Q86">
        <v>14550</v>
      </c>
      <c r="R86" t="s">
        <v>294</v>
      </c>
      <c r="S86" s="16">
        <v>45575</v>
      </c>
      <c r="T86" s="16">
        <v>45596</v>
      </c>
      <c r="U86" s="16">
        <v>45598</v>
      </c>
      <c r="V86">
        <f>misuo[[#This Row],[ميعاد التسليم]]-misuo[[#This Row],[ميعاد الطلب]]</f>
        <v>21</v>
      </c>
      <c r="W86">
        <f>misuo[[#This Row],[تاريخ التسليم]]-misuo[[#This Row],[ميعاد الطلب]]</f>
        <v>23</v>
      </c>
      <c r="X86">
        <f>misuo[[#This Row],[مدة التسليم الفعلية]]-misuo[[#This Row],[مدة التسليم المتوقعة]]</f>
        <v>2</v>
      </c>
      <c r="Y86" t="s">
        <v>173</v>
      </c>
      <c r="Z86" t="s">
        <v>172</v>
      </c>
    </row>
    <row r="87" spans="1:26" ht="20.100000000000001" customHeight="1" x14ac:dyDescent="0.2">
      <c r="A87">
        <v>1714623</v>
      </c>
      <c r="B87">
        <v>1284697</v>
      </c>
      <c r="C87" t="s">
        <v>200</v>
      </c>
      <c r="D87"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87">
        <f>IF(COUNTIFS($C$2:C87, C87, $D$2:D87, D87)=1, 1, 0)</f>
        <v>1</v>
      </c>
      <c r="F87" t="s">
        <v>91</v>
      </c>
      <c r="G87" t="s">
        <v>303</v>
      </c>
      <c r="H87" t="s">
        <v>6</v>
      </c>
      <c r="I87" t="s">
        <v>136</v>
      </c>
      <c r="J87" t="s">
        <v>148</v>
      </c>
      <c r="K87" t="s">
        <v>201</v>
      </c>
      <c r="L87" t="s">
        <v>202</v>
      </c>
      <c r="M87" t="s">
        <v>203</v>
      </c>
      <c r="N87"/>
      <c r="O87">
        <v>1</v>
      </c>
      <c r="P87"/>
      <c r="Q87">
        <v>12899</v>
      </c>
      <c r="R87" t="s">
        <v>294</v>
      </c>
      <c r="S87" s="16">
        <v>45578</v>
      </c>
      <c r="T87" s="16">
        <v>45643</v>
      </c>
      <c r="U87" s="16">
        <v>45598</v>
      </c>
      <c r="V87">
        <f>misuo[[#This Row],[ميعاد التسليم]]-misuo[[#This Row],[ميعاد الطلب]]</f>
        <v>65</v>
      </c>
      <c r="W87">
        <f>misuo[[#This Row],[تاريخ التسليم]]-misuo[[#This Row],[ميعاد الطلب]]</f>
        <v>20</v>
      </c>
      <c r="X87">
        <f>misuo[[#This Row],[مدة التسليم الفعلية]]-misuo[[#This Row],[مدة التسليم المتوقعة]]</f>
        <v>-45</v>
      </c>
      <c r="Y87" t="s">
        <v>173</v>
      </c>
      <c r="Z87" t="s">
        <v>172</v>
      </c>
    </row>
    <row r="88" spans="1:26" ht="20.100000000000001" customHeight="1" x14ac:dyDescent="0.2">
      <c r="A88">
        <v>1715473</v>
      </c>
      <c r="B88">
        <v>1285152</v>
      </c>
      <c r="C88" t="s">
        <v>204</v>
      </c>
      <c r="D88"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88">
        <f>IF(COUNTIFS($C$2:C88, C88, $D$2:D88, D88)=1, 1, 0)</f>
        <v>1</v>
      </c>
      <c r="F88" t="s">
        <v>39</v>
      </c>
      <c r="G88" t="s">
        <v>303</v>
      </c>
      <c r="H88" t="s">
        <v>6</v>
      </c>
      <c r="I88" t="s">
        <v>136</v>
      </c>
      <c r="J88" t="s">
        <v>148</v>
      </c>
      <c r="K88" t="s">
        <v>141</v>
      </c>
      <c r="L88">
        <v>80</v>
      </c>
      <c r="M88" t="s">
        <v>150</v>
      </c>
      <c r="N88"/>
      <c r="O88">
        <v>1</v>
      </c>
      <c r="P88"/>
      <c r="Q88">
        <v>10499</v>
      </c>
      <c r="R88" t="s">
        <v>12</v>
      </c>
      <c r="S88" s="16">
        <v>45581</v>
      </c>
      <c r="T88" s="16">
        <v>45645</v>
      </c>
      <c r="U88" s="16">
        <v>45586</v>
      </c>
      <c r="V88">
        <f>misuo[[#This Row],[ميعاد التسليم]]-misuo[[#This Row],[ميعاد الطلب]]</f>
        <v>64</v>
      </c>
      <c r="W88">
        <f>misuo[[#This Row],[تاريخ التسليم]]-misuo[[#This Row],[ميعاد الطلب]]</f>
        <v>5</v>
      </c>
      <c r="X88">
        <f>misuo[[#This Row],[مدة التسليم الفعلية]]-misuo[[#This Row],[مدة التسليم المتوقعة]]</f>
        <v>-59</v>
      </c>
      <c r="Y88" t="s">
        <v>173</v>
      </c>
      <c r="Z88" t="s">
        <v>172</v>
      </c>
    </row>
    <row r="89" spans="1:26" ht="20.100000000000001" customHeight="1" x14ac:dyDescent="0.2">
      <c r="A89">
        <v>1715992</v>
      </c>
      <c r="B89">
        <v>1285423</v>
      </c>
      <c r="C89" t="s">
        <v>205</v>
      </c>
      <c r="D8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89">
        <f>IF(COUNTIFS($C$2:C89, C89, $D$2:D89, D89)=1, 1, 0)</f>
        <v>1</v>
      </c>
      <c r="F89" t="s">
        <v>206</v>
      </c>
      <c r="G89" t="s">
        <v>300</v>
      </c>
      <c r="H89" t="s">
        <v>6</v>
      </c>
      <c r="I89" t="s">
        <v>136</v>
      </c>
      <c r="J89" t="s">
        <v>148</v>
      </c>
      <c r="K89" t="s">
        <v>138</v>
      </c>
      <c r="L89" t="s">
        <v>207</v>
      </c>
      <c r="M89" t="s">
        <v>203</v>
      </c>
      <c r="N89"/>
      <c r="O89">
        <v>1</v>
      </c>
      <c r="P89"/>
      <c r="Q89">
        <v>12899</v>
      </c>
      <c r="R89" t="s">
        <v>12</v>
      </c>
      <c r="S89" s="16">
        <v>45582</v>
      </c>
      <c r="T89" s="16">
        <v>45648</v>
      </c>
      <c r="U89" s="16">
        <v>45629</v>
      </c>
      <c r="V89">
        <f>misuo[[#This Row],[ميعاد التسليم]]-misuo[[#This Row],[ميعاد الطلب]]</f>
        <v>66</v>
      </c>
      <c r="W89">
        <f>misuo[[#This Row],[تاريخ التسليم]]-misuo[[#This Row],[ميعاد الطلب]]</f>
        <v>47</v>
      </c>
      <c r="X89">
        <f>misuo[[#This Row],[مدة التسليم الفعلية]]-misuo[[#This Row],[مدة التسليم المتوقعة]]</f>
        <v>-19</v>
      </c>
      <c r="Y89" t="s">
        <v>22</v>
      </c>
      <c r="Z89" t="s">
        <v>172</v>
      </c>
    </row>
    <row r="90" spans="1:26" ht="20.100000000000001" customHeight="1" x14ac:dyDescent="0.2">
      <c r="A90" t="s">
        <v>209</v>
      </c>
      <c r="B90"/>
      <c r="C90" t="s">
        <v>208</v>
      </c>
      <c r="D90"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90">
        <f>IF(COUNTIFS($C$2:C90, C90, $D$2:D90, D90)=1, 1, 0)</f>
        <v>1</v>
      </c>
      <c r="F90" t="s">
        <v>210</v>
      </c>
      <c r="G90" t="s">
        <v>303</v>
      </c>
      <c r="H90" t="s">
        <v>223</v>
      </c>
      <c r="I90" t="s">
        <v>136</v>
      </c>
      <c r="J90" t="s">
        <v>139</v>
      </c>
      <c r="K90" t="s">
        <v>211</v>
      </c>
      <c r="L90">
        <v>140</v>
      </c>
      <c r="M90" t="s">
        <v>192</v>
      </c>
      <c r="N90" t="s">
        <v>212</v>
      </c>
      <c r="O90">
        <v>1</v>
      </c>
      <c r="P90"/>
      <c r="Q90">
        <v>5135</v>
      </c>
      <c r="R90" t="s">
        <v>12</v>
      </c>
      <c r="S90" s="16">
        <v>45585</v>
      </c>
      <c r="T90" s="16">
        <v>45613</v>
      </c>
      <c r="U90" s="16">
        <v>45610</v>
      </c>
      <c r="V90">
        <f>misuo[[#This Row],[ميعاد التسليم]]-misuo[[#This Row],[ميعاد الطلب]]</f>
        <v>28</v>
      </c>
      <c r="W90">
        <f>misuo[[#This Row],[تاريخ التسليم]]-misuo[[#This Row],[ميعاد الطلب]]</f>
        <v>25</v>
      </c>
      <c r="X90">
        <f>misuo[[#This Row],[مدة التسليم الفعلية]]-misuo[[#This Row],[مدة التسليم المتوقعة]]</f>
        <v>-3</v>
      </c>
      <c r="Y90" t="s">
        <v>173</v>
      </c>
      <c r="Z90" t="s">
        <v>172</v>
      </c>
    </row>
    <row r="91" spans="1:26" ht="20.100000000000001" customHeight="1" x14ac:dyDescent="0.2">
      <c r="A91">
        <v>240080607</v>
      </c>
      <c r="B91"/>
      <c r="C91" t="s">
        <v>42</v>
      </c>
      <c r="D91"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91">
        <f>IF(COUNTIFS($C$2:C91, C91, $D$2:D91, D91)=1, 1, 0)</f>
        <v>0</v>
      </c>
      <c r="F91" t="s">
        <v>178</v>
      </c>
      <c r="G91" t="s">
        <v>299</v>
      </c>
      <c r="H91" t="s">
        <v>42</v>
      </c>
      <c r="I91" t="s">
        <v>136</v>
      </c>
      <c r="J91" t="s">
        <v>148</v>
      </c>
      <c r="K91" t="s">
        <v>213</v>
      </c>
      <c r="L91">
        <v>100</v>
      </c>
      <c r="M91" t="s">
        <v>214</v>
      </c>
      <c r="N91"/>
      <c r="O91">
        <v>1</v>
      </c>
      <c r="P91"/>
      <c r="Q91" s="15">
        <v>12777.5</v>
      </c>
      <c r="R91" t="s">
        <v>294</v>
      </c>
      <c r="S91" s="16">
        <v>45587</v>
      </c>
      <c r="T91" s="16">
        <v>45608</v>
      </c>
      <c r="U91" s="16">
        <v>45614</v>
      </c>
      <c r="V91">
        <f>misuo[[#This Row],[ميعاد التسليم]]-misuo[[#This Row],[ميعاد الطلب]]</f>
        <v>21</v>
      </c>
      <c r="W91">
        <f>misuo[[#This Row],[تاريخ التسليم]]-misuo[[#This Row],[ميعاد الطلب]]</f>
        <v>27</v>
      </c>
      <c r="X91">
        <f>misuo[[#This Row],[مدة التسليم الفعلية]]-misuo[[#This Row],[مدة التسليم المتوقعة]]</f>
        <v>6</v>
      </c>
      <c r="Y91" t="s">
        <v>173</v>
      </c>
      <c r="Z91" t="s">
        <v>172</v>
      </c>
    </row>
    <row r="92" spans="1:26" ht="20.100000000000001" customHeight="1" x14ac:dyDescent="0.2">
      <c r="A92">
        <v>240080607</v>
      </c>
      <c r="B92"/>
      <c r="C92" t="s">
        <v>42</v>
      </c>
      <c r="D92"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92">
        <f>IF(COUNTIFS($C$2:C92, C92, $D$2:D92, D92)=1, 1, 0)</f>
        <v>0</v>
      </c>
      <c r="F92" t="s">
        <v>178</v>
      </c>
      <c r="G92" t="s">
        <v>299</v>
      </c>
      <c r="H92" t="s">
        <v>42</v>
      </c>
      <c r="I92" t="s">
        <v>136</v>
      </c>
      <c r="J92" t="s">
        <v>148</v>
      </c>
      <c r="K92" t="s">
        <v>213</v>
      </c>
      <c r="L92">
        <v>100</v>
      </c>
      <c r="M92" t="s">
        <v>214</v>
      </c>
      <c r="N92"/>
      <c r="O92">
        <v>1</v>
      </c>
      <c r="P92"/>
      <c r="Q92" s="15">
        <v>12777.5</v>
      </c>
      <c r="R92" t="s">
        <v>294</v>
      </c>
      <c r="S92" s="16">
        <v>45587</v>
      </c>
      <c r="T92" s="16">
        <v>45608</v>
      </c>
      <c r="U92" s="16">
        <v>45614</v>
      </c>
      <c r="V92">
        <f>misuo[[#This Row],[ميعاد التسليم]]-misuo[[#This Row],[ميعاد الطلب]]</f>
        <v>21</v>
      </c>
      <c r="W92">
        <f>misuo[[#This Row],[تاريخ التسليم]]-misuo[[#This Row],[ميعاد الطلب]]</f>
        <v>27</v>
      </c>
      <c r="X92">
        <f>misuo[[#This Row],[مدة التسليم الفعلية]]-misuo[[#This Row],[مدة التسليم المتوقعة]]</f>
        <v>6</v>
      </c>
      <c r="Y92" t="s">
        <v>173</v>
      </c>
      <c r="Z92" t="s">
        <v>172</v>
      </c>
    </row>
    <row r="93" spans="1:26" ht="20.100000000000001" customHeight="1" x14ac:dyDescent="0.2">
      <c r="A93"/>
      <c r="B93"/>
      <c r="C93" t="s">
        <v>72</v>
      </c>
      <c r="D93"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93">
        <f>IF(COUNTIFS($C$2:C93, C93, $D$2:D93, D93)=1, 1, 0)</f>
        <v>0</v>
      </c>
      <c r="F93" t="s">
        <v>215</v>
      </c>
      <c r="G93" t="s">
        <v>303</v>
      </c>
      <c r="H93" t="s">
        <v>46</v>
      </c>
      <c r="I93" t="s">
        <v>136</v>
      </c>
      <c r="J93" t="s">
        <v>148</v>
      </c>
      <c r="K93" t="s">
        <v>213</v>
      </c>
      <c r="L93">
        <v>100</v>
      </c>
      <c r="M93" t="s">
        <v>214</v>
      </c>
      <c r="N93"/>
      <c r="O93">
        <v>1</v>
      </c>
      <c r="P93"/>
      <c r="Q93" s="15">
        <v>8544.91</v>
      </c>
      <c r="R93" t="s">
        <v>74</v>
      </c>
      <c r="S93" s="16">
        <v>45587</v>
      </c>
      <c r="T93" s="16"/>
      <c r="U93" s="16"/>
      <c r="V93">
        <v>0</v>
      </c>
      <c r="W93"/>
      <c r="X93"/>
      <c r="Y93"/>
      <c r="Z93" t="s">
        <v>326</v>
      </c>
    </row>
    <row r="94" spans="1:26" ht="20.100000000000001" customHeight="1" x14ac:dyDescent="0.2">
      <c r="A94">
        <v>1717458</v>
      </c>
      <c r="B94">
        <v>1286189</v>
      </c>
      <c r="C94" t="s">
        <v>216</v>
      </c>
      <c r="D9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94">
        <f>IF(COUNTIFS($C$2:C94, C94, $D$2:D94, D94)=1, 1, 0)</f>
        <v>1</v>
      </c>
      <c r="F94" t="s">
        <v>217</v>
      </c>
      <c r="G94" t="s">
        <v>299</v>
      </c>
      <c r="H94" t="s">
        <v>6</v>
      </c>
      <c r="I94" t="s">
        <v>136</v>
      </c>
      <c r="J94" t="s">
        <v>139</v>
      </c>
      <c r="K94" t="s">
        <v>160</v>
      </c>
      <c r="L94">
        <v>120</v>
      </c>
      <c r="M94" t="s">
        <v>150</v>
      </c>
      <c r="N94"/>
      <c r="O94">
        <v>1</v>
      </c>
      <c r="P94"/>
      <c r="Q94">
        <v>8943</v>
      </c>
      <c r="R94" t="s">
        <v>294</v>
      </c>
      <c r="S94" s="16">
        <v>45586</v>
      </c>
      <c r="T94" s="16">
        <v>45610</v>
      </c>
      <c r="U94" s="16">
        <v>45614</v>
      </c>
      <c r="V94">
        <f>misuo[[#This Row],[ميعاد التسليم]]-misuo[[#This Row],[ميعاد الطلب]]</f>
        <v>24</v>
      </c>
      <c r="W94">
        <f>misuo[[#This Row],[تاريخ التسليم]]-misuo[[#This Row],[ميعاد الطلب]]</f>
        <v>28</v>
      </c>
      <c r="X94">
        <f>misuo[[#This Row],[مدة التسليم الفعلية]]-misuo[[#This Row],[مدة التسليم المتوقعة]]</f>
        <v>4</v>
      </c>
      <c r="Y94" t="s">
        <v>173</v>
      </c>
      <c r="Z94" t="s">
        <v>172</v>
      </c>
    </row>
    <row r="95" spans="1:26" ht="20.100000000000001" customHeight="1" x14ac:dyDescent="0.2">
      <c r="A95">
        <v>240080858</v>
      </c>
      <c r="B95"/>
      <c r="C95" t="s">
        <v>42</v>
      </c>
      <c r="D95"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95">
        <f>IF(COUNTIFS($C$2:C95, C95, $D$2:D95, D95)=1, 1, 0)</f>
        <v>0</v>
      </c>
      <c r="F95"/>
      <c r="G95"/>
      <c r="H95" t="s">
        <v>42</v>
      </c>
      <c r="I95" t="s">
        <v>146</v>
      </c>
      <c r="J95" t="s">
        <v>179</v>
      </c>
      <c r="K95"/>
      <c r="L95"/>
      <c r="M95" t="s">
        <v>151</v>
      </c>
      <c r="N95"/>
      <c r="O95">
        <v>1</v>
      </c>
      <c r="P95"/>
      <c r="Q95">
        <v>15516</v>
      </c>
      <c r="R95" t="s">
        <v>12</v>
      </c>
      <c r="S95" s="16">
        <v>45589</v>
      </c>
      <c r="T95" s="16">
        <v>45610</v>
      </c>
      <c r="U95" s="16">
        <v>45595</v>
      </c>
      <c r="V95">
        <f>misuo[[#This Row],[ميعاد التسليم]]-misuo[[#This Row],[ميعاد الطلب]]</f>
        <v>21</v>
      </c>
      <c r="W95">
        <f>misuo[[#This Row],[تاريخ التسليم]]-misuo[[#This Row],[ميعاد الطلب]]</f>
        <v>6</v>
      </c>
      <c r="X95">
        <f>misuo[[#This Row],[مدة التسليم الفعلية]]-misuo[[#This Row],[مدة التسليم المتوقعة]]</f>
        <v>-15</v>
      </c>
      <c r="Y95" t="s">
        <v>173</v>
      </c>
      <c r="Z95" t="s">
        <v>172</v>
      </c>
    </row>
    <row r="96" spans="1:26" ht="20.100000000000001" customHeight="1" x14ac:dyDescent="0.2">
      <c r="A96">
        <v>240081061</v>
      </c>
      <c r="B96"/>
      <c r="C96" t="s">
        <v>42</v>
      </c>
      <c r="D96"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96">
        <f>IF(COUNTIFS($C$2:C96, C96, $D$2:D96, D96)=1, 1, 0)</f>
        <v>0</v>
      </c>
      <c r="F96"/>
      <c r="G96"/>
      <c r="H96" t="s">
        <v>42</v>
      </c>
      <c r="I96" t="s">
        <v>136</v>
      </c>
      <c r="J96" t="s">
        <v>148</v>
      </c>
      <c r="K96" t="s">
        <v>140</v>
      </c>
      <c r="L96">
        <v>100</v>
      </c>
      <c r="M96" t="s">
        <v>151</v>
      </c>
      <c r="N96"/>
      <c r="O96">
        <v>1</v>
      </c>
      <c r="P96"/>
      <c r="Q96">
        <v>10045</v>
      </c>
      <c r="R96" t="s">
        <v>294</v>
      </c>
      <c r="S96" s="16">
        <v>45591</v>
      </c>
      <c r="T96" s="16">
        <v>45612</v>
      </c>
      <c r="U96" s="16"/>
      <c r="V96">
        <f>misuo[[#This Row],[ميعاد التسليم]]-misuo[[#This Row],[ميعاد الطلب]]</f>
        <v>21</v>
      </c>
      <c r="W96"/>
      <c r="X96">
        <f>misuo[[#This Row],[مدة التسليم الفعلية]]-misuo[[#This Row],[مدة التسليم المتوقعة]]</f>
        <v>-21</v>
      </c>
      <c r="Y96"/>
      <c r="Z96" t="s">
        <v>326</v>
      </c>
    </row>
    <row r="97" spans="1:26" ht="20.100000000000001" customHeight="1" x14ac:dyDescent="0.2">
      <c r="A97">
        <v>1718948</v>
      </c>
      <c r="B97">
        <v>1286883</v>
      </c>
      <c r="C97" t="s">
        <v>118</v>
      </c>
      <c r="D97"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97">
        <f>IF(COUNTIFS($C$2:C97, C97, $D$2:D97, D97)=1, 1, 0)</f>
        <v>0</v>
      </c>
      <c r="F97" t="s">
        <v>218</v>
      </c>
      <c r="G97" t="s">
        <v>299</v>
      </c>
      <c r="H97" t="s">
        <v>6</v>
      </c>
      <c r="I97" t="s">
        <v>136</v>
      </c>
      <c r="J97" t="s">
        <v>148</v>
      </c>
      <c r="K97" t="s">
        <v>140</v>
      </c>
      <c r="L97">
        <v>90</v>
      </c>
      <c r="M97" t="s">
        <v>151</v>
      </c>
      <c r="N97"/>
      <c r="O97">
        <v>1</v>
      </c>
      <c r="P97"/>
      <c r="Q97">
        <v>11649</v>
      </c>
      <c r="R97" t="s">
        <v>294</v>
      </c>
      <c r="S97" s="16">
        <v>45591</v>
      </c>
      <c r="T97" s="16">
        <v>45606</v>
      </c>
      <c r="U97" s="16">
        <v>45614</v>
      </c>
      <c r="V97">
        <f>misuo[[#This Row],[ميعاد التسليم]]-misuo[[#This Row],[ميعاد الطلب]]</f>
        <v>15</v>
      </c>
      <c r="W97">
        <f>misuo[[#This Row],[تاريخ التسليم]]-misuo[[#This Row],[ميعاد الطلب]]</f>
        <v>23</v>
      </c>
      <c r="X97">
        <f>misuo[[#This Row],[مدة التسليم الفعلية]]-misuo[[#This Row],[مدة التسليم المتوقعة]]</f>
        <v>8</v>
      </c>
      <c r="Y97" t="s">
        <v>173</v>
      </c>
      <c r="Z97" t="s">
        <v>172</v>
      </c>
    </row>
    <row r="98" spans="1:26" ht="20.100000000000001" customHeight="1" x14ac:dyDescent="0.2">
      <c r="A98">
        <v>1718949</v>
      </c>
      <c r="B98">
        <v>1286883</v>
      </c>
      <c r="C98" t="s">
        <v>118</v>
      </c>
      <c r="D98"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98">
        <f>IF(COUNTIFS($C$2:C98, C98, $D$2:D98, D98)=1, 1, 0)</f>
        <v>0</v>
      </c>
      <c r="F98" t="s">
        <v>218</v>
      </c>
      <c r="G98" t="s">
        <v>299</v>
      </c>
      <c r="H98" t="s">
        <v>6</v>
      </c>
      <c r="I98" t="s">
        <v>136</v>
      </c>
      <c r="J98" t="s">
        <v>148</v>
      </c>
      <c r="K98" t="s">
        <v>140</v>
      </c>
      <c r="L98">
        <v>90</v>
      </c>
      <c r="M98" t="s">
        <v>151</v>
      </c>
      <c r="N98"/>
      <c r="O98">
        <v>1</v>
      </c>
      <c r="P98"/>
      <c r="Q98">
        <v>11649</v>
      </c>
      <c r="R98" t="s">
        <v>294</v>
      </c>
      <c r="S98" s="16">
        <v>45591</v>
      </c>
      <c r="T98" s="16">
        <v>45606</v>
      </c>
      <c r="U98" s="16">
        <v>45614</v>
      </c>
      <c r="V98">
        <f>misuo[[#This Row],[ميعاد التسليم]]-misuo[[#This Row],[ميعاد الطلب]]</f>
        <v>15</v>
      </c>
      <c r="W98">
        <f>misuo[[#This Row],[تاريخ التسليم]]-misuo[[#This Row],[ميعاد الطلب]]</f>
        <v>23</v>
      </c>
      <c r="X98">
        <f>misuo[[#This Row],[مدة التسليم الفعلية]]-misuo[[#This Row],[مدة التسليم المتوقعة]]</f>
        <v>8</v>
      </c>
      <c r="Y98" t="s">
        <v>173</v>
      </c>
      <c r="Z98" t="s">
        <v>172</v>
      </c>
    </row>
    <row r="99" spans="1:26" ht="20.100000000000001" customHeight="1" x14ac:dyDescent="0.2">
      <c r="A99"/>
      <c r="B99"/>
      <c r="C99" t="s">
        <v>6</v>
      </c>
      <c r="D9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99">
        <f>IF(COUNTIFS($C$2:C99, C99, $D$2:D99, D99)=1, 1, 0)</f>
        <v>1</v>
      </c>
      <c r="F99" t="s">
        <v>96</v>
      </c>
      <c r="G99" t="s">
        <v>303</v>
      </c>
      <c r="H99" t="s">
        <v>6</v>
      </c>
      <c r="I99" t="s">
        <v>136</v>
      </c>
      <c r="J99" t="s">
        <v>139</v>
      </c>
      <c r="K99" t="s">
        <v>142</v>
      </c>
      <c r="L99">
        <v>100</v>
      </c>
      <c r="M99" t="s">
        <v>150</v>
      </c>
      <c r="N99"/>
      <c r="O99">
        <v>1</v>
      </c>
      <c r="P99"/>
      <c r="Q99">
        <v>5100</v>
      </c>
      <c r="R99" t="s">
        <v>294</v>
      </c>
      <c r="S99" s="16">
        <v>45593</v>
      </c>
      <c r="T99" s="16">
        <v>45607</v>
      </c>
      <c r="U99" s="16">
        <v>45617</v>
      </c>
      <c r="V99">
        <f>misuo[[#This Row],[ميعاد التسليم]]-misuo[[#This Row],[ميعاد الطلب]]</f>
        <v>14</v>
      </c>
      <c r="W99">
        <f>misuo[[#This Row],[تاريخ التسليم]]-misuo[[#This Row],[ميعاد الطلب]]</f>
        <v>24</v>
      </c>
      <c r="X99">
        <f>misuo[[#This Row],[مدة التسليم الفعلية]]-misuo[[#This Row],[مدة التسليم المتوقعة]]</f>
        <v>10</v>
      </c>
      <c r="Y99" t="s">
        <v>173</v>
      </c>
      <c r="Z99" t="s">
        <v>172</v>
      </c>
    </row>
    <row r="100" spans="1:26" ht="20.100000000000001" customHeight="1" x14ac:dyDescent="0.2">
      <c r="A100"/>
      <c r="B100"/>
      <c r="C100" t="s">
        <v>6</v>
      </c>
      <c r="D100"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00">
        <f>IF(COUNTIFS($C$2:C100, C100, $D$2:D100, D100)=1, 1, 0)</f>
        <v>0</v>
      </c>
      <c r="F100" t="s">
        <v>96</v>
      </c>
      <c r="G100" t="s">
        <v>303</v>
      </c>
      <c r="H100" t="s">
        <v>6</v>
      </c>
      <c r="I100" t="s">
        <v>136</v>
      </c>
      <c r="J100" t="s">
        <v>139</v>
      </c>
      <c r="K100" t="s">
        <v>142</v>
      </c>
      <c r="L100">
        <v>120</v>
      </c>
      <c r="M100" t="s">
        <v>150</v>
      </c>
      <c r="N100"/>
      <c r="O100">
        <v>1</v>
      </c>
      <c r="P100"/>
      <c r="Q100">
        <v>5300</v>
      </c>
      <c r="R100" t="s">
        <v>294</v>
      </c>
      <c r="S100" s="16">
        <v>45593</v>
      </c>
      <c r="T100" s="16">
        <v>45607</v>
      </c>
      <c r="U100" s="16">
        <v>45617</v>
      </c>
      <c r="V100">
        <f>misuo[[#This Row],[ميعاد التسليم]]-misuo[[#This Row],[ميعاد الطلب]]</f>
        <v>14</v>
      </c>
      <c r="W100">
        <f>misuo[[#This Row],[تاريخ التسليم]]-misuo[[#This Row],[ميعاد الطلب]]</f>
        <v>24</v>
      </c>
      <c r="X100">
        <f>misuo[[#This Row],[مدة التسليم الفعلية]]-misuo[[#This Row],[مدة التسليم المتوقعة]]</f>
        <v>10</v>
      </c>
      <c r="Y100" t="s">
        <v>173</v>
      </c>
      <c r="Z100" t="s">
        <v>172</v>
      </c>
    </row>
    <row r="101" spans="1:26" ht="20.100000000000001" customHeight="1" x14ac:dyDescent="0.2">
      <c r="A101">
        <v>1744766</v>
      </c>
      <c r="B101">
        <v>1298738</v>
      </c>
      <c r="C101" t="s">
        <v>219</v>
      </c>
      <c r="D101"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01">
        <f>IF(COUNTIFS($C$2:C101, C101, $D$2:D101, D101)=1, 1, 0)</f>
        <v>1</v>
      </c>
      <c r="F101" t="s">
        <v>224</v>
      </c>
      <c r="G101" t="s">
        <v>303</v>
      </c>
      <c r="H101" t="s">
        <v>6</v>
      </c>
      <c r="I101" t="s">
        <v>136</v>
      </c>
      <c r="J101" t="s">
        <v>148</v>
      </c>
      <c r="K101" t="s">
        <v>141</v>
      </c>
      <c r="L101">
        <v>80</v>
      </c>
      <c r="M101" t="s">
        <v>150</v>
      </c>
      <c r="N101"/>
      <c r="O101">
        <v>1</v>
      </c>
      <c r="P101"/>
      <c r="Q101">
        <v>12099</v>
      </c>
      <c r="R101" t="s">
        <v>12</v>
      </c>
      <c r="S101" s="16">
        <v>45607</v>
      </c>
      <c r="T101" s="16">
        <v>45622</v>
      </c>
      <c r="U101" s="16">
        <v>45623</v>
      </c>
      <c r="V101">
        <f>misuo[[#This Row],[ميعاد التسليم]]-misuo[[#This Row],[ميعاد الطلب]]</f>
        <v>15</v>
      </c>
      <c r="W101">
        <f>misuo[[#This Row],[تاريخ التسليم]]-misuo[[#This Row],[ميعاد الطلب]]</f>
        <v>16</v>
      </c>
      <c r="X101">
        <f>misuo[[#This Row],[مدة التسليم الفعلية]]-misuo[[#This Row],[مدة التسليم المتوقعة]]</f>
        <v>1</v>
      </c>
      <c r="Y101" t="s">
        <v>173</v>
      </c>
      <c r="Z101" t="s">
        <v>172</v>
      </c>
    </row>
    <row r="102" spans="1:26" ht="20.100000000000001" customHeight="1" x14ac:dyDescent="0.2">
      <c r="A102">
        <v>240082226</v>
      </c>
      <c r="B102"/>
      <c r="C102" t="s">
        <v>42</v>
      </c>
      <c r="D102"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02">
        <f>IF(COUNTIFS($C$2:C102, C102, $D$2:D102, D102)=1, 1, 0)</f>
        <v>0</v>
      </c>
      <c r="F102" t="s">
        <v>195</v>
      </c>
      <c r="G102"/>
      <c r="H102" t="s">
        <v>42</v>
      </c>
      <c r="I102" t="s">
        <v>146</v>
      </c>
      <c r="J102" t="s">
        <v>179</v>
      </c>
      <c r="K102" t="s">
        <v>220</v>
      </c>
      <c r="L102"/>
      <c r="M102" t="s">
        <v>180</v>
      </c>
      <c r="N102" t="s">
        <v>221</v>
      </c>
      <c r="O102">
        <v>1</v>
      </c>
      <c r="P102"/>
      <c r="Q102">
        <v>15872</v>
      </c>
      <c r="R102" t="s">
        <v>12</v>
      </c>
      <c r="S102" s="16">
        <v>45604</v>
      </c>
      <c r="T102" s="16">
        <f>DATE(2024,12,3)</f>
        <v>45629</v>
      </c>
      <c r="U102" s="16">
        <v>45610</v>
      </c>
      <c r="V102">
        <f>misuo[[#This Row],[ميعاد التسليم]]-misuo[[#This Row],[ميعاد الطلب]]</f>
        <v>25</v>
      </c>
      <c r="W102">
        <f>misuo[[#This Row],[تاريخ التسليم]]-misuo[[#This Row],[ميعاد الطلب]]</f>
        <v>6</v>
      </c>
      <c r="X102">
        <f>misuo[[#This Row],[مدة التسليم الفعلية]]-misuo[[#This Row],[مدة التسليم المتوقعة]]</f>
        <v>-19</v>
      </c>
      <c r="Y102" t="s">
        <v>173</v>
      </c>
      <c r="Z102" t="s">
        <v>172</v>
      </c>
    </row>
    <row r="103" spans="1:26" ht="20.100000000000001" customHeight="1" x14ac:dyDescent="0.2">
      <c r="A103" t="s">
        <v>222</v>
      </c>
      <c r="B103"/>
      <c r="C103" t="s">
        <v>223</v>
      </c>
      <c r="D103"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03">
        <f>IF(COUNTIFS($C$2:C103, C103, $D$2:D103, D103)=1, 1, 0)</f>
        <v>1</v>
      </c>
      <c r="F103" t="s">
        <v>27</v>
      </c>
      <c r="G103" t="s">
        <v>303</v>
      </c>
      <c r="H103" t="s">
        <v>223</v>
      </c>
      <c r="I103" t="s">
        <v>136</v>
      </c>
      <c r="J103" t="s">
        <v>139</v>
      </c>
      <c r="K103" t="s">
        <v>160</v>
      </c>
      <c r="L103">
        <v>120</v>
      </c>
      <c r="M103" t="s">
        <v>150</v>
      </c>
      <c r="N103"/>
      <c r="O103">
        <v>1</v>
      </c>
      <c r="P103"/>
      <c r="Q103">
        <v>4520</v>
      </c>
      <c r="R103" t="s">
        <v>74</v>
      </c>
      <c r="S103" s="16">
        <v>45606</v>
      </c>
      <c r="T103" s="16">
        <v>45618</v>
      </c>
      <c r="U103" s="16">
        <v>45617</v>
      </c>
      <c r="V103">
        <f>misuo[[#This Row],[ميعاد التسليم]]-misuo[[#This Row],[ميعاد الطلب]]</f>
        <v>12</v>
      </c>
      <c r="W103">
        <f>misuo[[#This Row],[تاريخ التسليم]]-misuo[[#This Row],[ميعاد الطلب]]</f>
        <v>11</v>
      </c>
      <c r="X103">
        <f>misuo[[#This Row],[مدة التسليم الفعلية]]-misuo[[#This Row],[مدة التسليم المتوقعة]]</f>
        <v>-1</v>
      </c>
      <c r="Y103" t="s">
        <v>173</v>
      </c>
      <c r="Z103" t="s">
        <v>172</v>
      </c>
    </row>
    <row r="104" spans="1:26" ht="20.100000000000001" customHeight="1" x14ac:dyDescent="0.2">
      <c r="A104" t="s">
        <v>225</v>
      </c>
      <c r="B104"/>
      <c r="C104" t="s">
        <v>72</v>
      </c>
      <c r="D104"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04">
        <f>IF(COUNTIFS($C$2:C104, C104, $D$2:D104, D104)=1, 1, 0)</f>
        <v>0</v>
      </c>
      <c r="F104" t="s">
        <v>174</v>
      </c>
      <c r="G104" t="s">
        <v>304</v>
      </c>
      <c r="H104" t="s">
        <v>46</v>
      </c>
      <c r="I104" t="s">
        <v>136</v>
      </c>
      <c r="J104" t="s">
        <v>148</v>
      </c>
      <c r="K104" t="s">
        <v>140</v>
      </c>
      <c r="L104">
        <v>90</v>
      </c>
      <c r="M104" t="s">
        <v>151</v>
      </c>
      <c r="N104"/>
      <c r="O104">
        <v>1</v>
      </c>
      <c r="P104"/>
      <c r="Q104">
        <v>5766</v>
      </c>
      <c r="R104" t="s">
        <v>74</v>
      </c>
      <c r="S104" s="16">
        <v>45608</v>
      </c>
      <c r="T104" s="16">
        <v>45622</v>
      </c>
      <c r="U104" s="16">
        <v>45621</v>
      </c>
      <c r="V104">
        <f>misuo[[#This Row],[ميعاد التسليم]]-misuo[[#This Row],[ميعاد الطلب]]</f>
        <v>14</v>
      </c>
      <c r="W104">
        <f>misuo[[#This Row],[تاريخ التسليم]]-misuo[[#This Row],[ميعاد الطلب]]</f>
        <v>13</v>
      </c>
      <c r="X104">
        <f>misuo[[#This Row],[مدة التسليم الفعلية]]-misuo[[#This Row],[مدة التسليم المتوقعة]]</f>
        <v>-1</v>
      </c>
      <c r="Y104" t="s">
        <v>173</v>
      </c>
      <c r="Z104" t="s">
        <v>172</v>
      </c>
    </row>
    <row r="105" spans="1:26" ht="20.100000000000001" customHeight="1" x14ac:dyDescent="0.2">
      <c r="A105">
        <v>1752544</v>
      </c>
      <c r="B105">
        <v>1302011</v>
      </c>
      <c r="C105" t="s">
        <v>226</v>
      </c>
      <c r="D10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05">
        <f>IF(COUNTIFS($C$2:C105, C105, $D$2:D105, D105)=1, 1, 0)</f>
        <v>1</v>
      </c>
      <c r="F105" t="s">
        <v>96</v>
      </c>
      <c r="G105" t="s">
        <v>303</v>
      </c>
      <c r="H105" t="s">
        <v>6</v>
      </c>
      <c r="I105" t="s">
        <v>136</v>
      </c>
      <c r="J105" t="s">
        <v>139</v>
      </c>
      <c r="K105" t="s">
        <v>160</v>
      </c>
      <c r="L105">
        <v>160</v>
      </c>
      <c r="M105" t="s">
        <v>156</v>
      </c>
      <c r="N105"/>
      <c r="O105">
        <v>1</v>
      </c>
      <c r="P105"/>
      <c r="Q105">
        <v>11395</v>
      </c>
      <c r="R105" t="s">
        <v>12</v>
      </c>
      <c r="S105" s="16">
        <v>45608</v>
      </c>
      <c r="T105" s="16">
        <v>45620</v>
      </c>
      <c r="U105" s="16">
        <v>45623</v>
      </c>
      <c r="V105">
        <f>misuo[[#This Row],[ميعاد التسليم]]-misuo[[#This Row],[ميعاد الطلب]]</f>
        <v>12</v>
      </c>
      <c r="W105">
        <f>misuo[[#This Row],[تاريخ التسليم]]-misuo[[#This Row],[ميعاد الطلب]]</f>
        <v>15</v>
      </c>
      <c r="X105">
        <f>misuo[[#This Row],[مدة التسليم الفعلية]]-misuo[[#This Row],[مدة التسليم المتوقعة]]</f>
        <v>3</v>
      </c>
      <c r="Y105" t="s">
        <v>173</v>
      </c>
      <c r="Z105" t="s">
        <v>172</v>
      </c>
    </row>
    <row r="106" spans="1:26" ht="20.100000000000001" customHeight="1" x14ac:dyDescent="0.2">
      <c r="A106">
        <v>1755075</v>
      </c>
      <c r="B106">
        <v>1303159</v>
      </c>
      <c r="C106" t="s">
        <v>227</v>
      </c>
      <c r="D10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06">
        <f>IF(COUNTIFS($C$2:C106, C106, $D$2:D106, D106)=1, 1, 0)</f>
        <v>1</v>
      </c>
      <c r="F106" t="s">
        <v>27</v>
      </c>
      <c r="G106" t="s">
        <v>303</v>
      </c>
      <c r="H106" t="s">
        <v>6</v>
      </c>
      <c r="I106" t="s">
        <v>136</v>
      </c>
      <c r="J106" t="s">
        <v>148</v>
      </c>
      <c r="K106" t="s">
        <v>228</v>
      </c>
      <c r="L106">
        <v>80</v>
      </c>
      <c r="M106" t="s">
        <v>150</v>
      </c>
      <c r="N106"/>
      <c r="O106">
        <v>1</v>
      </c>
      <c r="P106"/>
      <c r="Q106">
        <v>12919</v>
      </c>
      <c r="R106" t="s">
        <v>12</v>
      </c>
      <c r="S106" s="16">
        <v>45610</v>
      </c>
      <c r="T106" s="16">
        <v>45626</v>
      </c>
      <c r="U106" s="16">
        <v>45623</v>
      </c>
      <c r="V106">
        <f>misuo[[#This Row],[ميعاد التسليم]]-misuo[[#This Row],[ميعاد الطلب]]</f>
        <v>16</v>
      </c>
      <c r="W106">
        <f>misuo[[#This Row],[تاريخ التسليم]]-misuo[[#This Row],[ميعاد الطلب]]</f>
        <v>13</v>
      </c>
      <c r="X106">
        <f>misuo[[#This Row],[مدة التسليم الفعلية]]-misuo[[#This Row],[مدة التسليم المتوقعة]]</f>
        <v>-3</v>
      </c>
      <c r="Y106" t="s">
        <v>173</v>
      </c>
      <c r="Z106" t="s">
        <v>172</v>
      </c>
    </row>
    <row r="107" spans="1:26" ht="20.100000000000001" customHeight="1" x14ac:dyDescent="0.2">
      <c r="A107" t="s">
        <v>229</v>
      </c>
      <c r="B107"/>
      <c r="C107" t="s">
        <v>72</v>
      </c>
      <c r="D107"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07">
        <f>IF(COUNTIFS($C$2:C107, C107, $D$2:D107, D107)=1, 1, 0)</f>
        <v>0</v>
      </c>
      <c r="F107" t="s">
        <v>174</v>
      </c>
      <c r="G107" t="s">
        <v>304</v>
      </c>
      <c r="H107" t="s">
        <v>46</v>
      </c>
      <c r="I107" t="s">
        <v>230</v>
      </c>
      <c r="J107" t="s">
        <v>148</v>
      </c>
      <c r="K107" t="s">
        <v>138</v>
      </c>
      <c r="L107">
        <v>120</v>
      </c>
      <c r="M107" t="s">
        <v>155</v>
      </c>
      <c r="N107"/>
      <c r="O107">
        <v>1</v>
      </c>
      <c r="P107"/>
      <c r="Q107">
        <v>6376</v>
      </c>
      <c r="R107" t="s">
        <v>74</v>
      </c>
      <c r="S107" s="16">
        <v>45610</v>
      </c>
      <c r="T107" s="16">
        <v>45623</v>
      </c>
      <c r="U107" s="16">
        <v>45621</v>
      </c>
      <c r="V107">
        <f>misuo[[#This Row],[ميعاد التسليم]]-misuo[[#This Row],[ميعاد الطلب]]</f>
        <v>13</v>
      </c>
      <c r="W107">
        <f>misuo[[#This Row],[تاريخ التسليم]]-misuo[[#This Row],[ميعاد الطلب]]</f>
        <v>11</v>
      </c>
      <c r="X107">
        <f>misuo[[#This Row],[مدة التسليم الفعلية]]-misuo[[#This Row],[مدة التسليم المتوقعة]]</f>
        <v>-2</v>
      </c>
      <c r="Y107" t="s">
        <v>173</v>
      </c>
      <c r="Z107" t="s">
        <v>172</v>
      </c>
    </row>
    <row r="108" spans="1:26" ht="20.100000000000001" customHeight="1" x14ac:dyDescent="0.2">
      <c r="A108" t="s">
        <v>231</v>
      </c>
      <c r="B108"/>
      <c r="C108" t="s">
        <v>72</v>
      </c>
      <c r="D108"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08">
        <f>IF(COUNTIFS($C$2:C108, C108, $D$2:D108, D108)=1, 1, 0)</f>
        <v>0</v>
      </c>
      <c r="F108" t="s">
        <v>232</v>
      </c>
      <c r="G108"/>
      <c r="H108" t="s">
        <v>46</v>
      </c>
      <c r="I108" t="s">
        <v>136</v>
      </c>
      <c r="J108" t="s">
        <v>233</v>
      </c>
      <c r="K108" t="s">
        <v>138</v>
      </c>
      <c r="L108">
        <v>90</v>
      </c>
      <c r="M108" t="s">
        <v>151</v>
      </c>
      <c r="N108"/>
      <c r="O108">
        <v>1</v>
      </c>
      <c r="P108"/>
      <c r="Q108">
        <v>5294</v>
      </c>
      <c r="R108" t="s">
        <v>74</v>
      </c>
      <c r="S108" s="16">
        <v>45610</v>
      </c>
      <c r="T108" s="16">
        <v>45623</v>
      </c>
      <c r="U108" s="16">
        <v>45621</v>
      </c>
      <c r="V108">
        <f>misuo[[#This Row],[ميعاد التسليم]]-misuo[[#This Row],[ميعاد الطلب]]</f>
        <v>13</v>
      </c>
      <c r="W108">
        <f>misuo[[#This Row],[تاريخ التسليم]]-misuo[[#This Row],[ميعاد الطلب]]</f>
        <v>11</v>
      </c>
      <c r="X108">
        <f>misuo[[#This Row],[مدة التسليم الفعلية]]-misuo[[#This Row],[مدة التسليم المتوقعة]]</f>
        <v>-2</v>
      </c>
      <c r="Y108" t="s">
        <v>173</v>
      </c>
      <c r="Z108" t="s">
        <v>172</v>
      </c>
    </row>
    <row r="109" spans="1:26" ht="20.100000000000001" customHeight="1" x14ac:dyDescent="0.2">
      <c r="A109">
        <v>265453625</v>
      </c>
      <c r="B109"/>
      <c r="C109" t="s">
        <v>234</v>
      </c>
      <c r="D10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09">
        <f>IF(COUNTIFS($C$2:C109, C109, $D$2:D109, D109)=1, 1, 0)</f>
        <v>1</v>
      </c>
      <c r="F109" t="s">
        <v>30</v>
      </c>
      <c r="G109" t="s">
        <v>299</v>
      </c>
      <c r="H109" t="s">
        <v>235</v>
      </c>
      <c r="I109" t="s">
        <v>230</v>
      </c>
      <c r="J109" t="s">
        <v>233</v>
      </c>
      <c r="K109" t="s">
        <v>236</v>
      </c>
      <c r="L109">
        <v>80</v>
      </c>
      <c r="M109" t="s">
        <v>150</v>
      </c>
      <c r="N109"/>
      <c r="O109">
        <v>1</v>
      </c>
      <c r="P109"/>
      <c r="Q109">
        <v>7396</v>
      </c>
      <c r="R109" t="s">
        <v>12</v>
      </c>
      <c r="S109" s="16">
        <v>45613</v>
      </c>
      <c r="T109" s="16">
        <v>45624</v>
      </c>
      <c r="U109" s="16">
        <v>45622</v>
      </c>
      <c r="V109">
        <f>misuo[[#This Row],[ميعاد التسليم]]-misuo[[#This Row],[ميعاد الطلب]]</f>
        <v>11</v>
      </c>
      <c r="W109">
        <f>misuo[[#This Row],[تاريخ التسليم]]-misuo[[#This Row],[ميعاد الطلب]]</f>
        <v>9</v>
      </c>
      <c r="X109">
        <f>misuo[[#This Row],[مدة التسليم الفعلية]]-misuo[[#This Row],[مدة التسليم المتوقعة]]</f>
        <v>-2</v>
      </c>
      <c r="Y109" t="s">
        <v>173</v>
      </c>
      <c r="Z109" t="s">
        <v>172</v>
      </c>
    </row>
    <row r="110" spans="1:26" ht="20.100000000000001" customHeight="1" x14ac:dyDescent="0.2">
      <c r="A110">
        <v>1762617</v>
      </c>
      <c r="B110">
        <v>1306879</v>
      </c>
      <c r="C110" t="s">
        <v>118</v>
      </c>
      <c r="D110"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10">
        <f>IF(COUNTIFS($C$2:C110, C110, $D$2:D110, D110)=1, 1, 0)</f>
        <v>0</v>
      </c>
      <c r="F110" t="s">
        <v>237</v>
      </c>
      <c r="G110" t="s">
        <v>299</v>
      </c>
      <c r="H110" t="s">
        <v>6</v>
      </c>
      <c r="I110" t="s">
        <v>136</v>
      </c>
      <c r="J110" t="s">
        <v>148</v>
      </c>
      <c r="K110" t="s">
        <v>140</v>
      </c>
      <c r="L110">
        <v>90</v>
      </c>
      <c r="M110" t="s">
        <v>151</v>
      </c>
      <c r="N110"/>
      <c r="O110">
        <v>1</v>
      </c>
      <c r="P110"/>
      <c r="Q110">
        <v>13439</v>
      </c>
      <c r="R110" t="s">
        <v>294</v>
      </c>
      <c r="S110" s="16">
        <v>45616</v>
      </c>
      <c r="T110" s="16">
        <v>45631</v>
      </c>
      <c r="U110" s="16">
        <v>45622</v>
      </c>
      <c r="V110">
        <f>misuo[[#This Row],[ميعاد التسليم]]-misuo[[#This Row],[ميعاد الطلب]]</f>
        <v>15</v>
      </c>
      <c r="W110">
        <f>misuo[[#This Row],[تاريخ التسليم]]-misuo[[#This Row],[ميعاد الطلب]]</f>
        <v>6</v>
      </c>
      <c r="X110">
        <f>misuo[[#This Row],[مدة التسليم الفعلية]]-misuo[[#This Row],[مدة التسليم المتوقعة]]</f>
        <v>-9</v>
      </c>
      <c r="Y110" t="s">
        <v>173</v>
      </c>
      <c r="Z110" t="s">
        <v>172</v>
      </c>
    </row>
    <row r="111" spans="1:26" ht="20.100000000000001" customHeight="1" x14ac:dyDescent="0.2">
      <c r="A111"/>
      <c r="B111"/>
      <c r="C111" t="s">
        <v>33</v>
      </c>
      <c r="D111"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11">
        <f>IF(COUNTIFS($C$2:C111, C111, $D$2:D111, D111)=1, 1, 0)</f>
        <v>0</v>
      </c>
      <c r="F111" t="s">
        <v>36</v>
      </c>
      <c r="G111" t="s">
        <v>303</v>
      </c>
      <c r="H111" t="s">
        <v>33</v>
      </c>
      <c r="I111" t="s">
        <v>136</v>
      </c>
      <c r="J111" t="s">
        <v>238</v>
      </c>
      <c r="K111" t="s">
        <v>239</v>
      </c>
      <c r="L111">
        <v>160</v>
      </c>
      <c r="M111" t="s">
        <v>151</v>
      </c>
      <c r="N111"/>
      <c r="O111">
        <v>1</v>
      </c>
      <c r="P111"/>
      <c r="Q111">
        <v>5100</v>
      </c>
      <c r="R111" t="s">
        <v>74</v>
      </c>
      <c r="S111" s="16">
        <v>45610</v>
      </c>
      <c r="T111" s="16">
        <v>45634</v>
      </c>
      <c r="U111" s="16"/>
      <c r="V111">
        <f>misuo[[#This Row],[ميعاد التسليم]]-misuo[[#This Row],[ميعاد الطلب]]</f>
        <v>24</v>
      </c>
      <c r="W111"/>
      <c r="X111">
        <f>misuo[[#This Row],[مدة التسليم الفعلية]]-misuo[[#This Row],[مدة التسليم المتوقعة]]</f>
        <v>-24</v>
      </c>
      <c r="Y111"/>
      <c r="Z111" t="s">
        <v>326</v>
      </c>
    </row>
    <row r="112" spans="1:26" ht="20.100000000000001" customHeight="1" x14ac:dyDescent="0.2">
      <c r="A112"/>
      <c r="B112"/>
      <c r="C112" t="s">
        <v>240</v>
      </c>
      <c r="D112"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12">
        <f>IF(COUNTIFS($C$2:C112, C112, $D$2:D112, D112)=1, 1, 0)</f>
        <v>1</v>
      </c>
      <c r="F112" t="s">
        <v>39</v>
      </c>
      <c r="G112" t="s">
        <v>303</v>
      </c>
      <c r="H112" t="s">
        <v>241</v>
      </c>
      <c r="I112" t="s">
        <v>230</v>
      </c>
      <c r="J112" t="s">
        <v>139</v>
      </c>
      <c r="K112" t="s">
        <v>242</v>
      </c>
      <c r="L112">
        <v>160</v>
      </c>
      <c r="M112" t="s">
        <v>159</v>
      </c>
      <c r="N112" t="s">
        <v>150</v>
      </c>
      <c r="O112">
        <v>1</v>
      </c>
      <c r="P112"/>
      <c r="Q112">
        <v>6000</v>
      </c>
      <c r="R112" t="s">
        <v>294</v>
      </c>
      <c r="S112" s="16">
        <v>45618</v>
      </c>
      <c r="T112" s="16">
        <v>45628</v>
      </c>
      <c r="U112" s="16">
        <v>45623</v>
      </c>
      <c r="V112">
        <f>misuo[[#This Row],[ميعاد التسليم]]-misuo[[#This Row],[ميعاد الطلب]]</f>
        <v>10</v>
      </c>
      <c r="W112">
        <f>misuo[[#This Row],[تاريخ التسليم]]-misuo[[#This Row],[ميعاد الطلب]]</f>
        <v>5</v>
      </c>
      <c r="X112">
        <f>misuo[[#This Row],[مدة التسليم الفعلية]]-misuo[[#This Row],[مدة التسليم المتوقعة]]</f>
        <v>-5</v>
      </c>
      <c r="Y112" t="s">
        <v>173</v>
      </c>
      <c r="Z112" t="s">
        <v>172</v>
      </c>
    </row>
    <row r="113" spans="1:26" ht="20.100000000000001" customHeight="1" x14ac:dyDescent="0.2">
      <c r="A113">
        <v>1765451</v>
      </c>
      <c r="B113">
        <v>1308241</v>
      </c>
      <c r="C113" t="s">
        <v>243</v>
      </c>
      <c r="D11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13">
        <f>IF(COUNTIFS($C$2:C113, C113, $D$2:D113, D113)=1, 1, 0)</f>
        <v>1</v>
      </c>
      <c r="F113" t="s">
        <v>244</v>
      </c>
      <c r="G113" t="s">
        <v>303</v>
      </c>
      <c r="H113" t="s">
        <v>6</v>
      </c>
      <c r="I113" t="s">
        <v>136</v>
      </c>
      <c r="J113" t="s">
        <v>238</v>
      </c>
      <c r="K113" t="s">
        <v>245</v>
      </c>
      <c r="L113">
        <v>120</v>
      </c>
      <c r="M113" t="s">
        <v>155</v>
      </c>
      <c r="N113"/>
      <c r="O113">
        <v>1</v>
      </c>
      <c r="P113"/>
      <c r="Q113">
        <v>10885</v>
      </c>
      <c r="R113" t="s">
        <v>294</v>
      </c>
      <c r="S113" s="16">
        <v>45620</v>
      </c>
      <c r="T113" s="16">
        <v>45631</v>
      </c>
      <c r="U113" s="16">
        <v>45636</v>
      </c>
      <c r="V113">
        <f>misuo[[#This Row],[ميعاد التسليم]]-misuo[[#This Row],[ميعاد الطلب]]</f>
        <v>11</v>
      </c>
      <c r="W113">
        <f>misuo[[#This Row],[تاريخ التسليم]]-misuo[[#This Row],[ميعاد الطلب]]</f>
        <v>16</v>
      </c>
      <c r="X113">
        <f>misuo[[#This Row],[مدة التسليم الفعلية]]-misuo[[#This Row],[مدة التسليم المتوقعة]]</f>
        <v>5</v>
      </c>
      <c r="Y113" t="s">
        <v>173</v>
      </c>
      <c r="Z113" t="s">
        <v>172</v>
      </c>
    </row>
    <row r="114" spans="1:26" ht="20.100000000000001" customHeight="1" x14ac:dyDescent="0.2">
      <c r="A114"/>
      <c r="B114"/>
      <c r="C114" t="s">
        <v>33</v>
      </c>
      <c r="D114"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14">
        <f>IF(COUNTIFS($C$2:C114, C114, $D$2:D114, D114)=1, 1, 0)</f>
        <v>0</v>
      </c>
      <c r="F114" t="s">
        <v>36</v>
      </c>
      <c r="G114" t="s">
        <v>303</v>
      </c>
      <c r="H114" t="s">
        <v>33</v>
      </c>
      <c r="I114" t="s">
        <v>146</v>
      </c>
      <c r="J114" t="s">
        <v>246</v>
      </c>
      <c r="K114" t="s">
        <v>246</v>
      </c>
      <c r="L114"/>
      <c r="M114"/>
      <c r="N114"/>
      <c r="O114">
        <v>1</v>
      </c>
      <c r="P114"/>
      <c r="Q114">
        <v>6000</v>
      </c>
      <c r="R114" t="s">
        <v>294</v>
      </c>
      <c r="S114" s="16">
        <v>45615</v>
      </c>
      <c r="T114" s="16">
        <v>45631</v>
      </c>
      <c r="U114" s="16">
        <v>45616</v>
      </c>
      <c r="V114">
        <f>misuo[[#This Row],[ميعاد التسليم]]-misuo[[#This Row],[ميعاد الطلب]]</f>
        <v>16</v>
      </c>
      <c r="W114">
        <f>misuo[[#This Row],[تاريخ التسليم]]-misuo[[#This Row],[ميعاد الطلب]]</f>
        <v>1</v>
      </c>
      <c r="X114">
        <f>misuo[[#This Row],[مدة التسليم الفعلية]]-misuo[[#This Row],[مدة التسليم المتوقعة]]</f>
        <v>-15</v>
      </c>
      <c r="Y114" t="s">
        <v>247</v>
      </c>
      <c r="Z114" t="s">
        <v>172</v>
      </c>
    </row>
    <row r="115" spans="1:26" ht="20.100000000000001" customHeight="1" x14ac:dyDescent="0.2">
      <c r="A115">
        <v>1782674</v>
      </c>
      <c r="B115">
        <v>1315860</v>
      </c>
      <c r="C115" t="s">
        <v>248</v>
      </c>
      <c r="D11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15">
        <f>IF(COUNTIFS($C$2:C115, C115, $D$2:D115, D115)=1, 1, 0)</f>
        <v>1</v>
      </c>
      <c r="F115" t="s">
        <v>249</v>
      </c>
      <c r="G115" t="s">
        <v>300</v>
      </c>
      <c r="H115" t="s">
        <v>6</v>
      </c>
      <c r="I115" t="s">
        <v>250</v>
      </c>
      <c r="J115"/>
      <c r="K115" t="s">
        <v>251</v>
      </c>
      <c r="L115"/>
      <c r="M115"/>
      <c r="N115"/>
      <c r="O115">
        <v>1</v>
      </c>
      <c r="P115"/>
      <c r="Q115">
        <v>8449</v>
      </c>
      <c r="R115" t="s">
        <v>12</v>
      </c>
      <c r="S115" s="16">
        <v>45623</v>
      </c>
      <c r="T115" s="16">
        <v>45636</v>
      </c>
      <c r="U115" s="16">
        <v>45649</v>
      </c>
      <c r="V115">
        <f>misuo[[#This Row],[ميعاد التسليم]]-misuo[[#This Row],[ميعاد الطلب]]</f>
        <v>13</v>
      </c>
      <c r="W115">
        <f>misuo[[#This Row],[تاريخ التسليم]]-misuo[[#This Row],[ميعاد الطلب]]</f>
        <v>26</v>
      </c>
      <c r="X115">
        <f>misuo[[#This Row],[مدة التسليم الفعلية]]-misuo[[#This Row],[مدة التسليم المتوقعة]]</f>
        <v>13</v>
      </c>
      <c r="Y115" t="s">
        <v>22</v>
      </c>
      <c r="Z115" t="s">
        <v>172</v>
      </c>
    </row>
    <row r="116" spans="1:26" ht="20.100000000000001" customHeight="1" x14ac:dyDescent="0.2">
      <c r="A116">
        <v>1781530</v>
      </c>
      <c r="B116">
        <v>1315450</v>
      </c>
      <c r="C116" t="s">
        <v>252</v>
      </c>
      <c r="D11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16">
        <f>IF(COUNTIFS($C$2:C116, C116, $D$2:D116, D116)=1, 1, 0)</f>
        <v>1</v>
      </c>
      <c r="F116" t="s">
        <v>49</v>
      </c>
      <c r="G116" t="s">
        <v>303</v>
      </c>
      <c r="H116" t="s">
        <v>6</v>
      </c>
      <c r="I116" t="s">
        <v>250</v>
      </c>
      <c r="J116" t="s">
        <v>253</v>
      </c>
      <c r="K116" t="s">
        <v>254</v>
      </c>
      <c r="L116"/>
      <c r="M116" t="s">
        <v>150</v>
      </c>
      <c r="N116" t="s">
        <v>255</v>
      </c>
      <c r="O116">
        <v>1</v>
      </c>
      <c r="P116"/>
      <c r="Q116">
        <v>10249</v>
      </c>
      <c r="R116" t="s">
        <v>294</v>
      </c>
      <c r="S116" s="16">
        <v>45623</v>
      </c>
      <c r="T116" s="16">
        <v>45636</v>
      </c>
      <c r="U116" s="16">
        <v>45645</v>
      </c>
      <c r="V116">
        <f>misuo[[#This Row],[ميعاد التسليم]]-misuo[[#This Row],[ميعاد الطلب]]</f>
        <v>13</v>
      </c>
      <c r="W116">
        <f>misuo[[#This Row],[تاريخ التسليم]]-misuo[[#This Row],[ميعاد الطلب]]</f>
        <v>22</v>
      </c>
      <c r="X116">
        <f>misuo[[#This Row],[مدة التسليم الفعلية]]-misuo[[#This Row],[مدة التسليم المتوقعة]]</f>
        <v>9</v>
      </c>
      <c r="Y116" t="s">
        <v>173</v>
      </c>
      <c r="Z116" t="s">
        <v>172</v>
      </c>
    </row>
    <row r="117" spans="1:26" ht="20.100000000000001" customHeight="1" x14ac:dyDescent="0.2">
      <c r="A117">
        <v>1795447</v>
      </c>
      <c r="B117">
        <v>1321584</v>
      </c>
      <c r="C117" t="s">
        <v>256</v>
      </c>
      <c r="D117"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17">
        <f>IF(COUNTIFS($C$2:C117, C117, $D$2:D117, D117)=1, 1, 0)</f>
        <v>1</v>
      </c>
      <c r="F117" t="s">
        <v>257</v>
      </c>
      <c r="G117" t="s">
        <v>300</v>
      </c>
      <c r="H117" t="s">
        <v>6</v>
      </c>
      <c r="I117" t="s">
        <v>136</v>
      </c>
      <c r="J117" t="s">
        <v>148</v>
      </c>
      <c r="K117" t="s">
        <v>141</v>
      </c>
      <c r="L117">
        <v>100</v>
      </c>
      <c r="M117" t="s">
        <v>151</v>
      </c>
      <c r="N117"/>
      <c r="O117">
        <v>1</v>
      </c>
      <c r="P117"/>
      <c r="Q117">
        <v>14905</v>
      </c>
      <c r="R117" t="s">
        <v>12</v>
      </c>
      <c r="S117" s="16">
        <v>45625</v>
      </c>
      <c r="T117" s="16">
        <v>45641</v>
      </c>
      <c r="U117" s="16"/>
      <c r="V117">
        <f>misuo[[#This Row],[ميعاد التسليم]]-misuo[[#This Row],[ميعاد الطلب]]</f>
        <v>16</v>
      </c>
      <c r="W117"/>
      <c r="X117">
        <f>misuo[[#This Row],[مدة التسليم الفعلية]]-misuo[[#This Row],[مدة التسليم المتوقعة]]</f>
        <v>-16</v>
      </c>
      <c r="Y117" t="s">
        <v>276</v>
      </c>
      <c r="Z117" t="s">
        <v>326</v>
      </c>
    </row>
    <row r="118" spans="1:26" ht="20.100000000000001" customHeight="1" x14ac:dyDescent="0.2">
      <c r="A118">
        <v>1808440</v>
      </c>
      <c r="B118">
        <v>1327172</v>
      </c>
      <c r="C118" t="s">
        <v>258</v>
      </c>
      <c r="D118"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18">
        <f>IF(COUNTIFS($C$2:C118, C118, $D$2:D118, D118)=1, 1, 0)</f>
        <v>1</v>
      </c>
      <c r="F118" t="s">
        <v>57</v>
      </c>
      <c r="G118" t="s">
        <v>303</v>
      </c>
      <c r="H118" t="s">
        <v>6</v>
      </c>
      <c r="I118" t="s">
        <v>259</v>
      </c>
      <c r="J118" t="s">
        <v>253</v>
      </c>
      <c r="K118" t="s">
        <v>254</v>
      </c>
      <c r="L118"/>
      <c r="M118" t="s">
        <v>180</v>
      </c>
      <c r="N118" t="s">
        <v>260</v>
      </c>
      <c r="O118">
        <v>1</v>
      </c>
      <c r="P118"/>
      <c r="Q118">
        <v>10249</v>
      </c>
      <c r="R118" t="s">
        <v>12</v>
      </c>
      <c r="S118" s="16">
        <v>45626</v>
      </c>
      <c r="T118" s="16">
        <v>45638</v>
      </c>
      <c r="U118" s="16"/>
      <c r="V118">
        <f>misuo[[#This Row],[ميعاد التسليم]]-misuo[[#This Row],[ميعاد الطلب]]</f>
        <v>12</v>
      </c>
      <c r="W118"/>
      <c r="X118">
        <f>misuo[[#This Row],[مدة التسليم الفعلية]]-misuo[[#This Row],[مدة التسليم المتوقعة]]</f>
        <v>-12</v>
      </c>
      <c r="Y118"/>
      <c r="Z118" t="s">
        <v>326</v>
      </c>
    </row>
    <row r="119" spans="1:26" ht="20.100000000000001" customHeight="1" x14ac:dyDescent="0.2">
      <c r="A119">
        <v>1808441</v>
      </c>
      <c r="B119">
        <v>1327172</v>
      </c>
      <c r="C119" t="s">
        <v>261</v>
      </c>
      <c r="D119"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19">
        <f>IF(COUNTIFS($C$2:C119, C119, $D$2:D119, D119)=1, 1, 0)</f>
        <v>1</v>
      </c>
      <c r="F119" t="s">
        <v>57</v>
      </c>
      <c r="G119" t="s">
        <v>303</v>
      </c>
      <c r="H119" t="s">
        <v>6</v>
      </c>
      <c r="I119" t="s">
        <v>259</v>
      </c>
      <c r="J119" t="s">
        <v>169</v>
      </c>
      <c r="K119"/>
      <c r="L119"/>
      <c r="M119" t="s">
        <v>151</v>
      </c>
      <c r="N119" t="s">
        <v>262</v>
      </c>
      <c r="O119">
        <v>1</v>
      </c>
      <c r="P119"/>
      <c r="Q119">
        <v>9029</v>
      </c>
      <c r="R119" t="s">
        <v>12</v>
      </c>
      <c r="S119" s="16">
        <v>45626</v>
      </c>
      <c r="T119" s="16">
        <v>45638</v>
      </c>
      <c r="U119" s="16"/>
      <c r="V119">
        <f>misuo[[#This Row],[ميعاد التسليم]]-misuo[[#This Row],[ميعاد الطلب]]</f>
        <v>12</v>
      </c>
      <c r="W119"/>
      <c r="X119">
        <f>misuo[[#This Row],[مدة التسليم الفعلية]]-misuo[[#This Row],[مدة التسليم المتوقعة]]</f>
        <v>-12</v>
      </c>
      <c r="Y119"/>
      <c r="Z119" t="s">
        <v>326</v>
      </c>
    </row>
    <row r="120" spans="1:26" ht="20.100000000000001" customHeight="1" x14ac:dyDescent="0.2">
      <c r="A120">
        <v>1805052</v>
      </c>
      <c r="B120">
        <v>1325637</v>
      </c>
      <c r="C120" t="s">
        <v>263</v>
      </c>
      <c r="D120"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20">
        <f>IF(COUNTIFS($C$2:C120, C120, $D$2:D120, D120)=1, 1, 0)</f>
        <v>1</v>
      </c>
      <c r="F120" t="s">
        <v>131</v>
      </c>
      <c r="G120" t="s">
        <v>184</v>
      </c>
      <c r="H120" t="s">
        <v>6</v>
      </c>
      <c r="I120" t="s">
        <v>250</v>
      </c>
      <c r="J120" t="s">
        <v>264</v>
      </c>
      <c r="K120"/>
      <c r="L120"/>
      <c r="M120" t="s">
        <v>180</v>
      </c>
      <c r="N120" t="s">
        <v>265</v>
      </c>
      <c r="O120">
        <v>1</v>
      </c>
      <c r="P120"/>
      <c r="Q120">
        <v>9029</v>
      </c>
      <c r="R120" t="s">
        <v>12</v>
      </c>
      <c r="S120" s="16">
        <v>45626</v>
      </c>
      <c r="T120" s="16">
        <v>45638</v>
      </c>
      <c r="U120" s="16"/>
      <c r="V120">
        <f>misuo[[#This Row],[ميعاد التسليم]]-misuo[[#This Row],[ميعاد الطلب]]</f>
        <v>12</v>
      </c>
      <c r="W120"/>
      <c r="X120">
        <f>misuo[[#This Row],[مدة التسليم الفعلية]]-misuo[[#This Row],[مدة التسليم المتوقعة]]</f>
        <v>-12</v>
      </c>
      <c r="Y120"/>
      <c r="Z120" t="s">
        <v>326</v>
      </c>
    </row>
    <row r="121" spans="1:26" ht="20.100000000000001" customHeight="1" x14ac:dyDescent="0.2">
      <c r="A121">
        <v>1813823</v>
      </c>
      <c r="B121">
        <v>1329646</v>
      </c>
      <c r="C121" t="s">
        <v>266</v>
      </c>
      <c r="D121"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21">
        <f>IF(COUNTIFS($C$2:C121, C121, $D$2:D121, D121)=1, 1, 0)</f>
        <v>1</v>
      </c>
      <c r="F121" t="s">
        <v>267</v>
      </c>
      <c r="G121" t="s">
        <v>303</v>
      </c>
      <c r="H121" t="s">
        <v>6</v>
      </c>
      <c r="I121" t="s">
        <v>136</v>
      </c>
      <c r="J121" t="s">
        <v>233</v>
      </c>
      <c r="K121" t="s">
        <v>138</v>
      </c>
      <c r="L121">
        <v>80</v>
      </c>
      <c r="M121" t="s">
        <v>150</v>
      </c>
      <c r="N121"/>
      <c r="O121">
        <v>1</v>
      </c>
      <c r="P121"/>
      <c r="Q121">
        <v>12099</v>
      </c>
      <c r="R121" t="s">
        <v>12</v>
      </c>
      <c r="S121" s="16">
        <v>45628</v>
      </c>
      <c r="T121" s="16">
        <v>45643</v>
      </c>
      <c r="U121" s="16"/>
      <c r="V121">
        <f>misuo[[#This Row],[ميعاد التسليم]]-misuo[[#This Row],[ميعاد الطلب]]</f>
        <v>15</v>
      </c>
      <c r="W121"/>
      <c r="X121">
        <f>misuo[[#This Row],[مدة التسليم الفعلية]]-misuo[[#This Row],[مدة التسليم المتوقعة]]</f>
        <v>-15</v>
      </c>
      <c r="Y121"/>
      <c r="Z121" t="s">
        <v>326</v>
      </c>
    </row>
    <row r="122" spans="1:26" ht="20.100000000000001" customHeight="1" x14ac:dyDescent="0.2">
      <c r="A122" t="s">
        <v>268</v>
      </c>
      <c r="B122"/>
      <c r="C122" t="s">
        <v>72</v>
      </c>
      <c r="D122"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22">
        <f>IF(COUNTIFS($C$2:C122, C122, $D$2:D122, D122)=1, 1, 0)</f>
        <v>0</v>
      </c>
      <c r="F122" t="s">
        <v>174</v>
      </c>
      <c r="G122" t="s">
        <v>304</v>
      </c>
      <c r="H122" t="s">
        <v>46</v>
      </c>
      <c r="I122" t="s">
        <v>136</v>
      </c>
      <c r="J122" t="s">
        <v>233</v>
      </c>
      <c r="K122" t="s">
        <v>236</v>
      </c>
      <c r="L122">
        <v>90</v>
      </c>
      <c r="M122" t="s">
        <v>153</v>
      </c>
      <c r="N122"/>
      <c r="O122">
        <v>1</v>
      </c>
      <c r="P122"/>
      <c r="Q122">
        <v>5217</v>
      </c>
      <c r="R122" t="s">
        <v>74</v>
      </c>
      <c r="S122" s="16">
        <v>45627</v>
      </c>
      <c r="T122" s="16">
        <v>45640</v>
      </c>
      <c r="U122" s="16">
        <v>45636</v>
      </c>
      <c r="V122">
        <f>misuo[[#This Row],[ميعاد التسليم]]-misuo[[#This Row],[ميعاد الطلب]]</f>
        <v>13</v>
      </c>
      <c r="W122">
        <f>misuo[[#This Row],[تاريخ التسليم]]-misuo[[#This Row],[ميعاد الطلب]]</f>
        <v>9</v>
      </c>
      <c r="X122">
        <f>misuo[[#This Row],[مدة التسليم الفعلية]]-misuo[[#This Row],[مدة التسليم المتوقعة]]</f>
        <v>-4</v>
      </c>
      <c r="Y122" t="s">
        <v>173</v>
      </c>
      <c r="Z122" t="s">
        <v>172</v>
      </c>
    </row>
    <row r="123" spans="1:26" ht="20.100000000000001" customHeight="1" x14ac:dyDescent="0.2">
      <c r="A123">
        <v>1810950</v>
      </c>
      <c r="B123">
        <v>1328141</v>
      </c>
      <c r="C123" t="s">
        <v>269</v>
      </c>
      <c r="D123"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23">
        <f>IF(COUNTIFS($C$2:C123, C123, $D$2:D123, D123)=1, 1, 0)</f>
        <v>1</v>
      </c>
      <c r="F123" t="s">
        <v>122</v>
      </c>
      <c r="G123" t="s">
        <v>304</v>
      </c>
      <c r="H123" t="s">
        <v>6</v>
      </c>
      <c r="I123" t="s">
        <v>230</v>
      </c>
      <c r="J123" t="s">
        <v>137</v>
      </c>
      <c r="K123"/>
      <c r="L123"/>
      <c r="M123" t="s">
        <v>151</v>
      </c>
      <c r="N123" t="s">
        <v>151</v>
      </c>
      <c r="O123">
        <v>1</v>
      </c>
      <c r="P123"/>
      <c r="Q123">
        <v>10249</v>
      </c>
      <c r="R123" t="s">
        <v>294</v>
      </c>
      <c r="S123" s="16">
        <v>45630</v>
      </c>
      <c r="T123" s="16">
        <v>45640</v>
      </c>
      <c r="U123" s="16">
        <v>45645</v>
      </c>
      <c r="V123">
        <f>misuo[[#This Row],[ميعاد التسليم]]-misuo[[#This Row],[ميعاد الطلب]]</f>
        <v>10</v>
      </c>
      <c r="W123">
        <f>misuo[[#This Row],[تاريخ التسليم]]-misuo[[#This Row],[ميعاد الطلب]]</f>
        <v>15</v>
      </c>
      <c r="X123">
        <f>misuo[[#This Row],[مدة التسليم الفعلية]]-misuo[[#This Row],[مدة التسليم المتوقعة]]</f>
        <v>5</v>
      </c>
      <c r="Y123" t="s">
        <v>173</v>
      </c>
      <c r="Z123" t="s">
        <v>172</v>
      </c>
    </row>
    <row r="124" spans="1:26" ht="20.100000000000001" customHeight="1" x14ac:dyDescent="0.2">
      <c r="A124">
        <v>240085463</v>
      </c>
      <c r="B124"/>
      <c r="C124" t="s">
        <v>270</v>
      </c>
      <c r="D124"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24">
        <f>IF(COUNTIFS($C$2:C124, C124, $D$2:D124, D124)=1, 1, 0)</f>
        <v>1</v>
      </c>
      <c r="F124" t="s">
        <v>271</v>
      </c>
      <c r="G124" t="s">
        <v>303</v>
      </c>
      <c r="H124" t="s">
        <v>42</v>
      </c>
      <c r="I124" t="s">
        <v>136</v>
      </c>
      <c r="J124" t="s">
        <v>148</v>
      </c>
      <c r="K124" t="s">
        <v>140</v>
      </c>
      <c r="L124"/>
      <c r="M124" t="s">
        <v>151</v>
      </c>
      <c r="N124"/>
      <c r="O124">
        <v>1</v>
      </c>
      <c r="P124"/>
      <c r="Q124">
        <v>10445</v>
      </c>
      <c r="R124" t="s">
        <v>294</v>
      </c>
      <c r="S124" s="16">
        <v>45635</v>
      </c>
      <c r="T124" s="16">
        <v>45657</v>
      </c>
      <c r="U124" s="16">
        <v>45638</v>
      </c>
      <c r="V124">
        <f>misuo[[#This Row],[ميعاد التسليم]]-misuo[[#This Row],[ميعاد الطلب]]</f>
        <v>22</v>
      </c>
      <c r="W124">
        <f>misuo[[#This Row],[تاريخ التسليم]]-misuo[[#This Row],[ميعاد الطلب]]</f>
        <v>3</v>
      </c>
      <c r="X124">
        <f>misuo[[#This Row],[مدة التسليم الفعلية]]-misuo[[#This Row],[مدة التسليم المتوقعة]]</f>
        <v>-19</v>
      </c>
      <c r="Y124" t="s">
        <v>173</v>
      </c>
      <c r="Z124" t="s">
        <v>172</v>
      </c>
    </row>
    <row r="125" spans="1:26" ht="20.100000000000001" customHeight="1" x14ac:dyDescent="0.2">
      <c r="A125">
        <v>1818591</v>
      </c>
      <c r="B125">
        <v>1332300</v>
      </c>
      <c r="C125" t="s">
        <v>272</v>
      </c>
      <c r="D125"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25">
        <f>IF(COUNTIFS($C$2:C125, C125, $D$2:D125, D125)=1, 1, 0)</f>
        <v>1</v>
      </c>
      <c r="F125" t="s">
        <v>57</v>
      </c>
      <c r="G125" t="s">
        <v>303</v>
      </c>
      <c r="H125" t="s">
        <v>6</v>
      </c>
      <c r="I125" t="s">
        <v>250</v>
      </c>
      <c r="J125" t="s">
        <v>273</v>
      </c>
      <c r="K125" t="s">
        <v>254</v>
      </c>
      <c r="L125"/>
      <c r="M125" t="s">
        <v>180</v>
      </c>
      <c r="N125" t="s">
        <v>260</v>
      </c>
      <c r="O125">
        <v>1</v>
      </c>
      <c r="P125"/>
      <c r="Q125">
        <v>11199</v>
      </c>
      <c r="R125" t="s">
        <v>294</v>
      </c>
      <c r="S125" s="16">
        <v>45638</v>
      </c>
      <c r="T125" s="16">
        <v>45650</v>
      </c>
      <c r="U125" s="16">
        <v>45645</v>
      </c>
      <c r="V125">
        <f>misuo[[#This Row],[ميعاد التسليم]]-misuo[[#This Row],[ميعاد الطلب]]</f>
        <v>12</v>
      </c>
      <c r="W125">
        <f>misuo[[#This Row],[تاريخ التسليم]]-misuo[[#This Row],[ميعاد الطلب]]</f>
        <v>7</v>
      </c>
      <c r="X125">
        <f>misuo[[#This Row],[مدة التسليم الفعلية]]-misuo[[#This Row],[مدة التسليم المتوقعة]]</f>
        <v>-5</v>
      </c>
      <c r="Y125" t="s">
        <v>173</v>
      </c>
      <c r="Z125" t="s">
        <v>172</v>
      </c>
    </row>
    <row r="126" spans="1:26" ht="20.100000000000001" customHeight="1" x14ac:dyDescent="0.2">
      <c r="A126">
        <v>1818396</v>
      </c>
      <c r="B126">
        <v>1332179</v>
      </c>
      <c r="C126" t="s">
        <v>274</v>
      </c>
      <c r="D126" t="str">
        <f>IF(OR(misuo[[#This Row],[أسم العميل]]="شيك هومز",misuo[[#This Row],[أسم العميل]]="اوسكار راتن",misuo[[#This Row],[أسم العميل]]="تاكى",misuo[[#This Row],[أسم العميل]]="بافلى هانى",misuo[[#This Row],[أسم العميل]]="منزلى"),"شركات","افراد")</f>
        <v>افراد</v>
      </c>
      <c r="E126">
        <f>IF(COUNTIFS($C$2:C126, C126, $D$2:D126, D126)=1, 1, 0)</f>
        <v>1</v>
      </c>
      <c r="F126" t="s">
        <v>237</v>
      </c>
      <c r="G126" t="s">
        <v>299</v>
      </c>
      <c r="H126" t="s">
        <v>6</v>
      </c>
      <c r="I126" t="s">
        <v>230</v>
      </c>
      <c r="J126" t="s">
        <v>148</v>
      </c>
      <c r="K126" t="s">
        <v>138</v>
      </c>
      <c r="L126">
        <v>80</v>
      </c>
      <c r="M126" t="s">
        <v>151</v>
      </c>
      <c r="N126"/>
      <c r="O126">
        <v>1</v>
      </c>
      <c r="P126"/>
      <c r="Q126">
        <v>13099</v>
      </c>
      <c r="R126" t="s">
        <v>294</v>
      </c>
      <c r="S126" s="16">
        <v>45638</v>
      </c>
      <c r="T126" s="16">
        <v>45654</v>
      </c>
      <c r="U126" s="16">
        <v>45655</v>
      </c>
      <c r="V126">
        <f>misuo[[#This Row],[ميعاد التسليم]]-misuo[[#This Row],[ميعاد الطلب]]</f>
        <v>16</v>
      </c>
      <c r="W126">
        <f>misuo[[#This Row],[تاريخ التسليم]]-misuo[[#This Row],[ميعاد الطلب]]</f>
        <v>17</v>
      </c>
      <c r="X126">
        <f>misuo[[#This Row],[مدة التسليم الفعلية]]-misuo[[#This Row],[مدة التسليم المتوقعة]]</f>
        <v>1</v>
      </c>
      <c r="Y126" t="s">
        <v>173</v>
      </c>
      <c r="Z126" t="s">
        <v>172</v>
      </c>
    </row>
    <row r="127" spans="1:26" ht="20.100000000000001" customHeight="1" x14ac:dyDescent="0.2">
      <c r="A127">
        <v>240085758</v>
      </c>
      <c r="B127"/>
      <c r="C127" t="s">
        <v>42</v>
      </c>
      <c r="D127" t="str">
        <f>IF(OR(misuo[[#This Row],[أسم العميل]]="شيك هومز",misuo[[#This Row],[أسم العميل]]="اوسكار راتن",misuo[[#This Row],[أسم العميل]]="تاكى",misuo[[#This Row],[أسم العميل]]="بافلى هانى",misuo[[#This Row],[أسم العميل]]="منزلى"),"شركات","افراد")</f>
        <v>شركات</v>
      </c>
      <c r="E127">
        <f>IF(COUNTIFS($C$2:C127, C127, $D$2:D127, D127)=1, 1, 0)</f>
        <v>0</v>
      </c>
      <c r="F127" t="s">
        <v>195</v>
      </c>
      <c r="G127"/>
      <c r="H127" t="s">
        <v>42</v>
      </c>
      <c r="I127" t="s">
        <v>146</v>
      </c>
      <c r="J127" t="s">
        <v>179</v>
      </c>
      <c r="K127" t="s">
        <v>220</v>
      </c>
      <c r="L127"/>
      <c r="M127" t="s">
        <v>180</v>
      </c>
      <c r="N127" t="s">
        <v>275</v>
      </c>
      <c r="O127">
        <v>1</v>
      </c>
      <c r="P127"/>
      <c r="Q127">
        <v>8700</v>
      </c>
      <c r="R127" t="s">
        <v>74</v>
      </c>
      <c r="S127" s="16">
        <v>45640</v>
      </c>
      <c r="T127" s="16">
        <v>45662</v>
      </c>
      <c r="U127" s="16">
        <v>45655</v>
      </c>
      <c r="V127">
        <f>misuo[[#This Row],[ميعاد التسليم]]-misuo[[#This Row],[ميعاد الطلب]]</f>
        <v>22</v>
      </c>
      <c r="W127">
        <f>misuo[[#This Row],[تاريخ التسليم]]-misuo[[#This Row],[ميعاد الطلب]]</f>
        <v>15</v>
      </c>
      <c r="X127">
        <f>misuo[[#This Row],[مدة التسليم الفعلية]]-misuo[[#This Row],[مدة التسليم المتوقعة]]</f>
        <v>-7</v>
      </c>
      <c r="Y127" t="s">
        <v>173</v>
      </c>
      <c r="Z127" t="s">
        <v>172</v>
      </c>
    </row>
    <row r="128" spans="1:26" ht="20.100000000000001" customHeight="1" x14ac:dyDescent="0.2">
      <c r="Z128" s="12"/>
    </row>
    <row r="129" spans="26:26" ht="20.100000000000001" customHeight="1" x14ac:dyDescent="0.2">
      <c r="Z129" s="12"/>
    </row>
    <row r="130" spans="26:26" ht="20.100000000000001" customHeight="1" x14ac:dyDescent="0.2">
      <c r="Z130" s="12"/>
    </row>
    <row r="131" spans="26:26" ht="20.100000000000001" customHeight="1" x14ac:dyDescent="0.2">
      <c r="Z131" s="12"/>
    </row>
    <row r="132" spans="26:26" ht="20.100000000000001" customHeight="1" x14ac:dyDescent="0.2">
      <c r="Z132" s="12"/>
    </row>
    <row r="133" spans="26:26" ht="20.100000000000001" customHeight="1" x14ac:dyDescent="0.2">
      <c r="Z133" s="12"/>
    </row>
    <row r="134" spans="26:26" ht="20.100000000000001" customHeight="1" x14ac:dyDescent="0.2">
      <c r="Z134" s="12"/>
    </row>
    <row r="135" spans="26:26" ht="20.100000000000001" customHeight="1" x14ac:dyDescent="0.2">
      <c r="Z135" s="12"/>
    </row>
    <row r="136" spans="26:26" ht="20.100000000000001" customHeight="1" x14ac:dyDescent="0.2">
      <c r="Z136" s="12"/>
    </row>
    <row r="137" spans="26:26" ht="20.100000000000001" customHeight="1" x14ac:dyDescent="0.2">
      <c r="Z137" s="12"/>
    </row>
    <row r="138" spans="26:26" ht="20.100000000000001" customHeight="1" x14ac:dyDescent="0.2">
      <c r="Z138" s="12"/>
    </row>
    <row r="139" spans="26:26" ht="20.100000000000001" customHeight="1" x14ac:dyDescent="0.2">
      <c r="Z139" s="12"/>
    </row>
    <row r="140" spans="26:26" ht="20.100000000000001" customHeight="1" x14ac:dyDescent="0.2">
      <c r="Z140" s="12"/>
    </row>
    <row r="141" spans="26:26" ht="20.100000000000001" customHeight="1" x14ac:dyDescent="0.2">
      <c r="Z141" s="12"/>
    </row>
    <row r="142" spans="26:26" ht="20.100000000000001" customHeight="1" x14ac:dyDescent="0.2">
      <c r="Z142" s="12"/>
    </row>
    <row r="143" spans="26:26" ht="20.100000000000001" customHeight="1" x14ac:dyDescent="0.2">
      <c r="Z143" s="12"/>
    </row>
    <row r="144" spans="26:26" ht="20.100000000000001" customHeight="1" x14ac:dyDescent="0.2">
      <c r="Z144" s="12"/>
    </row>
    <row r="145" spans="26:26" ht="20.100000000000001" customHeight="1" x14ac:dyDescent="0.2">
      <c r="Z145" s="12"/>
    </row>
    <row r="146" spans="26:26" ht="20.100000000000001" customHeight="1" x14ac:dyDescent="0.2">
      <c r="Z146" s="12"/>
    </row>
    <row r="147" spans="26:26" ht="20.100000000000001" customHeight="1" x14ac:dyDescent="0.2">
      <c r="Z147" s="12"/>
    </row>
    <row r="148" spans="26:26" ht="20.100000000000001" customHeight="1" x14ac:dyDescent="0.2">
      <c r="Z148" s="12"/>
    </row>
    <row r="149" spans="26:26" ht="20.100000000000001" customHeight="1" x14ac:dyDescent="0.2">
      <c r="Z149" s="12"/>
    </row>
    <row r="150" spans="26:26" ht="20.100000000000001" customHeight="1" x14ac:dyDescent="0.2">
      <c r="Z150" s="12"/>
    </row>
    <row r="151" spans="26:26" ht="20.100000000000001" customHeight="1" x14ac:dyDescent="0.2">
      <c r="Z151" s="12"/>
    </row>
    <row r="152" spans="26:26" ht="20.100000000000001" customHeight="1" x14ac:dyDescent="0.2">
      <c r="Z152" s="12"/>
    </row>
    <row r="153" spans="26:26" ht="20.100000000000001" customHeight="1" x14ac:dyDescent="0.2">
      <c r="Z153" s="12"/>
    </row>
    <row r="154" spans="26:26" ht="20.100000000000001" customHeight="1" x14ac:dyDescent="0.2">
      <c r="Z154" s="12"/>
    </row>
    <row r="155" spans="26:26" ht="20.100000000000001" customHeight="1" x14ac:dyDescent="0.2">
      <c r="Z155" s="12"/>
    </row>
    <row r="156" spans="26:26" ht="20.100000000000001" customHeight="1" x14ac:dyDescent="0.2">
      <c r="Z156" s="12"/>
    </row>
    <row r="157" spans="26:26" ht="20.100000000000001" customHeight="1" x14ac:dyDescent="0.2">
      <c r="Z157" s="12"/>
    </row>
    <row r="158" spans="26:26" ht="20.100000000000001" customHeight="1" x14ac:dyDescent="0.2">
      <c r="Z158" s="12"/>
    </row>
    <row r="159" spans="26:26" ht="20.100000000000001" customHeight="1" x14ac:dyDescent="0.2">
      <c r="Z159" s="12"/>
    </row>
    <row r="160" spans="26:26" ht="20.100000000000001" customHeight="1" x14ac:dyDescent="0.2">
      <c r="Z160" s="12"/>
    </row>
    <row r="161" spans="26:26" ht="20.100000000000001" customHeight="1" x14ac:dyDescent="0.2">
      <c r="Z161" s="12"/>
    </row>
    <row r="162" spans="26:26" ht="20.100000000000001" customHeight="1" x14ac:dyDescent="0.2">
      <c r="Z162" s="12"/>
    </row>
    <row r="163" spans="26:26" ht="20.100000000000001" customHeight="1" x14ac:dyDescent="0.2">
      <c r="Z163" s="12"/>
    </row>
    <row r="164" spans="26:26" ht="20.100000000000001" customHeight="1" x14ac:dyDescent="0.2">
      <c r="Z164" s="12"/>
    </row>
    <row r="165" spans="26:26" ht="20.100000000000001" customHeight="1" x14ac:dyDescent="0.2">
      <c r="Z165" s="12"/>
    </row>
    <row r="166" spans="26:26" ht="20.100000000000001" customHeight="1" x14ac:dyDescent="0.2">
      <c r="Z166" s="12"/>
    </row>
    <row r="167" spans="26:26" ht="20.100000000000001" customHeight="1" x14ac:dyDescent="0.2">
      <c r="Z167" s="12"/>
    </row>
    <row r="168" spans="26:26" ht="20.100000000000001" customHeight="1" x14ac:dyDescent="0.2">
      <c r="Z168" s="12"/>
    </row>
    <row r="169" spans="26:26" ht="20.100000000000001" customHeight="1" x14ac:dyDescent="0.2">
      <c r="Z169" s="12"/>
    </row>
    <row r="170" spans="26:26" ht="20.100000000000001" customHeight="1" x14ac:dyDescent="0.2">
      <c r="Z170" s="12"/>
    </row>
    <row r="171" spans="26:26" ht="20.100000000000001" customHeight="1" x14ac:dyDescent="0.2">
      <c r="Z171" s="12"/>
    </row>
    <row r="172" spans="26:26" ht="20.100000000000001" customHeight="1" x14ac:dyDescent="0.2">
      <c r="Z172" s="12"/>
    </row>
    <row r="173" spans="26:26" ht="20.100000000000001" customHeight="1" x14ac:dyDescent="0.2">
      <c r="Z173" s="12"/>
    </row>
    <row r="174" spans="26:26" ht="20.100000000000001" customHeight="1" x14ac:dyDescent="0.2">
      <c r="Z174" s="12"/>
    </row>
    <row r="175" spans="26:26" ht="20.100000000000001" customHeight="1" x14ac:dyDescent="0.2">
      <c r="Z175" s="12"/>
    </row>
    <row r="176" spans="26:26" ht="20.100000000000001" customHeight="1" x14ac:dyDescent="0.2">
      <c r="Z176" s="12"/>
    </row>
    <row r="177" spans="26:26" ht="20.100000000000001" customHeight="1" x14ac:dyDescent="0.2">
      <c r="Z177" s="12"/>
    </row>
    <row r="178" spans="26:26" ht="20.100000000000001" customHeight="1" x14ac:dyDescent="0.2">
      <c r="Z178" s="12"/>
    </row>
    <row r="179" spans="26:26" ht="20.100000000000001" customHeight="1" x14ac:dyDescent="0.2">
      <c r="Z179" s="12"/>
    </row>
    <row r="180" spans="26:26" ht="20.100000000000001" customHeight="1" x14ac:dyDescent="0.2">
      <c r="Z180" s="12"/>
    </row>
    <row r="181" spans="26:26" ht="20.100000000000001" customHeight="1" x14ac:dyDescent="0.2">
      <c r="Z181" s="12"/>
    </row>
    <row r="182" spans="26:26" ht="20.100000000000001" customHeight="1" x14ac:dyDescent="0.2">
      <c r="Z182" s="12"/>
    </row>
    <row r="183" spans="26:26" ht="20.100000000000001" customHeight="1" x14ac:dyDescent="0.2">
      <c r="Z183" s="12"/>
    </row>
    <row r="184" spans="26:26" ht="20.100000000000001" customHeight="1" x14ac:dyDescent="0.2">
      <c r="Z184" s="12"/>
    </row>
    <row r="185" spans="26:26" ht="20.100000000000001" customHeight="1" x14ac:dyDescent="0.2">
      <c r="Z185" s="12"/>
    </row>
    <row r="186" spans="26:26" ht="20.100000000000001" customHeight="1" x14ac:dyDescent="0.2">
      <c r="Z186" s="12"/>
    </row>
    <row r="187" spans="26:26" ht="20.100000000000001" customHeight="1" x14ac:dyDescent="0.2">
      <c r="Z187" s="12"/>
    </row>
    <row r="188" spans="26:26" ht="20.100000000000001" customHeight="1" x14ac:dyDescent="0.2">
      <c r="Z188" s="12"/>
    </row>
    <row r="189" spans="26:26" ht="20.100000000000001" customHeight="1" x14ac:dyDescent="0.2">
      <c r="Z189" s="12"/>
    </row>
    <row r="190" spans="26:26" ht="20.100000000000001" customHeight="1" x14ac:dyDescent="0.2">
      <c r="Z190" s="12"/>
    </row>
    <row r="191" spans="26:26" ht="20.100000000000001" customHeight="1" x14ac:dyDescent="0.2">
      <c r="Z191" s="12"/>
    </row>
    <row r="192" spans="26:26" ht="20.100000000000001" customHeight="1" x14ac:dyDescent="0.2">
      <c r="Z192" s="12"/>
    </row>
    <row r="193" spans="26:26" ht="20.100000000000001" customHeight="1" x14ac:dyDescent="0.2">
      <c r="Z193" s="12"/>
    </row>
    <row r="194" spans="26:26" ht="20.100000000000001" customHeight="1" x14ac:dyDescent="0.2">
      <c r="Z194" s="12"/>
    </row>
    <row r="195" spans="26:26" ht="20.100000000000001" customHeight="1" x14ac:dyDescent="0.2">
      <c r="Z195" s="12"/>
    </row>
    <row r="196" spans="26:26" ht="20.100000000000001" customHeight="1" x14ac:dyDescent="0.2">
      <c r="Z196" s="12"/>
    </row>
    <row r="197" spans="26:26" ht="20.100000000000001" customHeight="1" x14ac:dyDescent="0.2">
      <c r="Z197" s="12"/>
    </row>
    <row r="198" spans="26:26" ht="20.100000000000001" customHeight="1" x14ac:dyDescent="0.2">
      <c r="Z198" s="12"/>
    </row>
    <row r="199" spans="26:26" ht="20.100000000000001" customHeight="1" x14ac:dyDescent="0.2">
      <c r="Z199" s="12"/>
    </row>
    <row r="200" spans="26:26" ht="20.100000000000001" customHeight="1" x14ac:dyDescent="0.2">
      <c r="Z200" s="12"/>
    </row>
    <row r="201" spans="26:26" ht="20.100000000000001" customHeight="1" x14ac:dyDescent="0.2">
      <c r="Z201" s="12"/>
    </row>
    <row r="202" spans="26:26" ht="20.100000000000001" customHeight="1" x14ac:dyDescent="0.2">
      <c r="Z202" s="12"/>
    </row>
    <row r="203" spans="26:26" ht="20.100000000000001" customHeight="1" x14ac:dyDescent="0.2">
      <c r="Z203" s="12"/>
    </row>
    <row r="204" spans="26:26" ht="20.100000000000001" customHeight="1" x14ac:dyDescent="0.2">
      <c r="Z204" s="12"/>
    </row>
    <row r="205" spans="26:26" ht="20.100000000000001" customHeight="1" x14ac:dyDescent="0.2">
      <c r="Z205" s="12"/>
    </row>
    <row r="206" spans="26:26" ht="20.100000000000001" customHeight="1" x14ac:dyDescent="0.2">
      <c r="Z206" s="12"/>
    </row>
    <row r="207" spans="26:26" ht="20.100000000000001" customHeight="1" x14ac:dyDescent="0.2">
      <c r="Z207" s="12"/>
    </row>
    <row r="208" spans="26:26" ht="20.100000000000001" customHeight="1" x14ac:dyDescent="0.2">
      <c r="Z208" s="12"/>
    </row>
    <row r="209" spans="26:26" ht="20.100000000000001" customHeight="1" x14ac:dyDescent="0.2">
      <c r="Z209" s="12"/>
    </row>
    <row r="210" spans="26:26" ht="20.100000000000001" customHeight="1" x14ac:dyDescent="0.2">
      <c r="Z210" s="12"/>
    </row>
    <row r="211" spans="26:26" ht="20.100000000000001" customHeight="1" x14ac:dyDescent="0.2">
      <c r="Z211" s="12"/>
    </row>
    <row r="212" spans="26:26" ht="20.100000000000001" customHeight="1" x14ac:dyDescent="0.2">
      <c r="Z212" s="12"/>
    </row>
    <row r="213" spans="26:26" ht="20.100000000000001" customHeight="1" x14ac:dyDescent="0.2">
      <c r="Z213" s="12"/>
    </row>
    <row r="214" spans="26:26" ht="20.100000000000001" customHeight="1" x14ac:dyDescent="0.2">
      <c r="Z214" s="12"/>
    </row>
    <row r="215" spans="26:26" ht="20.100000000000001" customHeight="1" x14ac:dyDescent="0.2">
      <c r="Z215" s="12"/>
    </row>
    <row r="216" spans="26:26" ht="20.100000000000001" customHeight="1" x14ac:dyDescent="0.2">
      <c r="Z216" s="12"/>
    </row>
    <row r="217" spans="26:26" ht="20.100000000000001" customHeight="1" x14ac:dyDescent="0.2">
      <c r="Z217" s="12"/>
    </row>
    <row r="218" spans="26:26" ht="20.100000000000001" customHeight="1" x14ac:dyDescent="0.2">
      <c r="Z218" s="12"/>
    </row>
    <row r="219" spans="26:26" ht="20.100000000000001" customHeight="1" x14ac:dyDescent="0.2">
      <c r="Z219" s="12"/>
    </row>
    <row r="220" spans="26:26" ht="20.100000000000001" customHeight="1" x14ac:dyDescent="0.2">
      <c r="Z220" s="12"/>
    </row>
    <row r="221" spans="26:26" ht="20.100000000000001" customHeight="1" x14ac:dyDescent="0.2">
      <c r="Z221" s="12"/>
    </row>
    <row r="222" spans="26:26" ht="20.100000000000001" customHeight="1" x14ac:dyDescent="0.2">
      <c r="Z222" s="12"/>
    </row>
    <row r="223" spans="26:26" ht="20.100000000000001" customHeight="1" x14ac:dyDescent="0.2">
      <c r="Z223" s="12"/>
    </row>
    <row r="224" spans="26:26" ht="20.100000000000001" customHeight="1" x14ac:dyDescent="0.2">
      <c r="Z224" s="12"/>
    </row>
    <row r="225" spans="26:26" ht="20.100000000000001" customHeight="1" x14ac:dyDescent="0.2">
      <c r="Z225" s="12"/>
    </row>
    <row r="226" spans="26:26" ht="20.100000000000001" customHeight="1" x14ac:dyDescent="0.2">
      <c r="Z226" s="12"/>
    </row>
    <row r="227" spans="26:26" ht="20.100000000000001" customHeight="1" x14ac:dyDescent="0.2">
      <c r="Z227" s="12"/>
    </row>
    <row r="228" spans="26:26" ht="20.100000000000001" customHeight="1" x14ac:dyDescent="0.2">
      <c r="Z228" s="12"/>
    </row>
    <row r="229" spans="26:26" ht="20.100000000000001" customHeight="1" x14ac:dyDescent="0.2">
      <c r="Z229" s="12"/>
    </row>
    <row r="230" spans="26:26" ht="20.100000000000001" customHeight="1" x14ac:dyDescent="0.2">
      <c r="Z230" s="12"/>
    </row>
    <row r="231" spans="26:26" ht="20.100000000000001" customHeight="1" x14ac:dyDescent="0.2">
      <c r="Z231" s="12"/>
    </row>
    <row r="232" spans="26:26" ht="20.100000000000001" customHeight="1" x14ac:dyDescent="0.2">
      <c r="Z232" s="12"/>
    </row>
    <row r="233" spans="26:26" ht="20.100000000000001" customHeight="1" x14ac:dyDescent="0.2">
      <c r="Z233" s="12"/>
    </row>
    <row r="234" spans="26:26" ht="20.100000000000001" customHeight="1" x14ac:dyDescent="0.2">
      <c r="Z234" s="12"/>
    </row>
    <row r="235" spans="26:26" ht="20.100000000000001" customHeight="1" x14ac:dyDescent="0.2">
      <c r="Z235" s="12"/>
    </row>
    <row r="236" spans="26:26" ht="20.100000000000001" customHeight="1" x14ac:dyDescent="0.2">
      <c r="Z236" s="12"/>
    </row>
    <row r="237" spans="26:26" ht="20.100000000000001" customHeight="1" x14ac:dyDescent="0.2">
      <c r="Z237" s="12"/>
    </row>
    <row r="238" spans="26:26" ht="20.100000000000001" customHeight="1" x14ac:dyDescent="0.2">
      <c r="Z238" s="12"/>
    </row>
    <row r="239" spans="26:26" ht="20.100000000000001" customHeight="1" x14ac:dyDescent="0.2">
      <c r="Z239" s="12"/>
    </row>
    <row r="240" spans="26:26" ht="20.100000000000001" customHeight="1" x14ac:dyDescent="0.2">
      <c r="Z240" s="12"/>
    </row>
    <row r="241" spans="26:26" ht="20.100000000000001" customHeight="1" x14ac:dyDescent="0.2">
      <c r="Z241" s="12"/>
    </row>
    <row r="242" spans="26:26" ht="20.100000000000001" customHeight="1" x14ac:dyDescent="0.2">
      <c r="Z242" s="12"/>
    </row>
    <row r="243" spans="26:26" ht="20.100000000000001" customHeight="1" x14ac:dyDescent="0.2">
      <c r="Z243" s="12"/>
    </row>
    <row r="244" spans="26:26" ht="20.100000000000001" customHeight="1" x14ac:dyDescent="0.2">
      <c r="Z244" s="12"/>
    </row>
    <row r="245" spans="26:26" ht="20.100000000000001" customHeight="1" x14ac:dyDescent="0.2">
      <c r="Z245" s="12"/>
    </row>
    <row r="246" spans="26:26" ht="20.100000000000001" customHeight="1" x14ac:dyDescent="0.2">
      <c r="Z246" s="12"/>
    </row>
    <row r="247" spans="26:26" ht="20.100000000000001" customHeight="1" x14ac:dyDescent="0.2">
      <c r="Z247" s="12"/>
    </row>
    <row r="248" spans="26:26" ht="20.100000000000001" customHeight="1" x14ac:dyDescent="0.2">
      <c r="Z248" s="12"/>
    </row>
    <row r="249" spans="26:26" ht="20.100000000000001" customHeight="1" x14ac:dyDescent="0.2">
      <c r="Z249" s="12"/>
    </row>
    <row r="250" spans="26:26" ht="20.100000000000001" customHeight="1" x14ac:dyDescent="0.2">
      <c r="Z250" s="12"/>
    </row>
    <row r="251" spans="26:26" ht="20.100000000000001" customHeight="1" x14ac:dyDescent="0.2">
      <c r="Z251" s="12"/>
    </row>
    <row r="252" spans="26:26" ht="20.100000000000001" customHeight="1" x14ac:dyDescent="0.2">
      <c r="Z252" s="12"/>
    </row>
    <row r="253" spans="26:26" ht="20.100000000000001" customHeight="1" x14ac:dyDescent="0.2">
      <c r="Z253" s="12"/>
    </row>
    <row r="254" spans="26:26" ht="20.100000000000001" customHeight="1" x14ac:dyDescent="0.2">
      <c r="Z254" s="12"/>
    </row>
    <row r="255" spans="26:26" ht="20.100000000000001" customHeight="1" x14ac:dyDescent="0.2">
      <c r="Z255" s="12"/>
    </row>
    <row r="256" spans="26:26" ht="20.100000000000001" customHeight="1" x14ac:dyDescent="0.2">
      <c r="Z256" s="12"/>
    </row>
    <row r="257" spans="26:26" ht="20.100000000000001" customHeight="1" x14ac:dyDescent="0.2">
      <c r="Z257" s="12"/>
    </row>
    <row r="258" spans="26:26" ht="20.100000000000001" customHeight="1" x14ac:dyDescent="0.2">
      <c r="Z258" s="12"/>
    </row>
    <row r="259" spans="26:26" ht="20.100000000000001" customHeight="1" x14ac:dyDescent="0.2">
      <c r="Z259" s="12"/>
    </row>
    <row r="260" spans="26:26" ht="20.100000000000001" customHeight="1" x14ac:dyDescent="0.2">
      <c r="Z260" s="12"/>
    </row>
    <row r="261" spans="26:26" ht="20.100000000000001" customHeight="1" x14ac:dyDescent="0.2">
      <c r="Z261" s="12"/>
    </row>
    <row r="262" spans="26:26" ht="20.100000000000001" customHeight="1" x14ac:dyDescent="0.2">
      <c r="Z262" s="12"/>
    </row>
    <row r="263" spans="26:26" ht="20.100000000000001" customHeight="1" x14ac:dyDescent="0.2">
      <c r="Z263" s="12"/>
    </row>
    <row r="264" spans="26:26" ht="20.100000000000001" customHeight="1" x14ac:dyDescent="0.2">
      <c r="Z264" s="12"/>
    </row>
    <row r="265" spans="26:26" ht="20.100000000000001" customHeight="1" x14ac:dyDescent="0.2">
      <c r="Z265" s="12"/>
    </row>
    <row r="266" spans="26:26" ht="20.100000000000001" customHeight="1" x14ac:dyDescent="0.2">
      <c r="Z266" s="12"/>
    </row>
    <row r="267" spans="26:26" ht="20.100000000000001" customHeight="1" x14ac:dyDescent="0.2">
      <c r="Z267" s="12"/>
    </row>
    <row r="268" spans="26:26" ht="20.100000000000001" customHeight="1" x14ac:dyDescent="0.2">
      <c r="Z268" s="12"/>
    </row>
    <row r="269" spans="26:26" ht="20.100000000000001" customHeight="1" x14ac:dyDescent="0.2">
      <c r="Z269" s="12"/>
    </row>
    <row r="270" spans="26:26" ht="20.100000000000001" customHeight="1" x14ac:dyDescent="0.2">
      <c r="Z270" s="12"/>
    </row>
    <row r="271" spans="26:26" ht="20.100000000000001" customHeight="1" x14ac:dyDescent="0.2">
      <c r="Z271" s="12"/>
    </row>
    <row r="272" spans="26:26" ht="20.100000000000001" customHeight="1" x14ac:dyDescent="0.2">
      <c r="Z272" s="12"/>
    </row>
    <row r="273" spans="26:26" ht="20.100000000000001" customHeight="1" x14ac:dyDescent="0.2">
      <c r="Z273" s="12"/>
    </row>
    <row r="274" spans="26:26" ht="20.100000000000001" customHeight="1" x14ac:dyDescent="0.2">
      <c r="Z274" s="12"/>
    </row>
    <row r="275" spans="26:26" ht="20.100000000000001" customHeight="1" x14ac:dyDescent="0.2">
      <c r="Z275" s="12"/>
    </row>
    <row r="276" spans="26:26" ht="20.100000000000001" customHeight="1" x14ac:dyDescent="0.2">
      <c r="Z276" s="12"/>
    </row>
    <row r="277" spans="26:26" ht="20.100000000000001" customHeight="1" x14ac:dyDescent="0.2">
      <c r="Z277" s="12"/>
    </row>
    <row r="278" spans="26:26" ht="20.100000000000001" customHeight="1" x14ac:dyDescent="0.2">
      <c r="Z278" s="12"/>
    </row>
    <row r="279" spans="26:26" ht="20.100000000000001" customHeight="1" x14ac:dyDescent="0.2">
      <c r="Z279" s="12"/>
    </row>
    <row r="280" spans="26:26" ht="20.100000000000001" customHeight="1" x14ac:dyDescent="0.2">
      <c r="Z280" s="12"/>
    </row>
    <row r="281" spans="26:26" ht="20.100000000000001" customHeight="1" x14ac:dyDescent="0.2">
      <c r="Z281" s="12"/>
    </row>
    <row r="282" spans="26:26" ht="20.100000000000001" customHeight="1" x14ac:dyDescent="0.2">
      <c r="Z282" s="12"/>
    </row>
    <row r="283" spans="26:26" ht="20.100000000000001" customHeight="1" x14ac:dyDescent="0.2">
      <c r="Z283" s="12"/>
    </row>
    <row r="284" spans="26:26" ht="20.100000000000001" customHeight="1" x14ac:dyDescent="0.2">
      <c r="Z284" s="12"/>
    </row>
    <row r="285" spans="26:26" ht="20.100000000000001" customHeight="1" x14ac:dyDescent="0.2">
      <c r="Z285" s="12"/>
    </row>
    <row r="286" spans="26:26" ht="20.100000000000001" customHeight="1" x14ac:dyDescent="0.2">
      <c r="Z286" s="12"/>
    </row>
    <row r="287" spans="26:26" ht="20.100000000000001" customHeight="1" x14ac:dyDescent="0.2">
      <c r="Z287" s="12"/>
    </row>
    <row r="288" spans="26:26" ht="20.100000000000001" customHeight="1" x14ac:dyDescent="0.2">
      <c r="Z288" s="12"/>
    </row>
    <row r="289" spans="26:26" ht="20.100000000000001" customHeight="1" x14ac:dyDescent="0.2">
      <c r="Z289" s="12"/>
    </row>
    <row r="290" spans="26:26" ht="20.100000000000001" customHeight="1" x14ac:dyDescent="0.2">
      <c r="Z290" s="12"/>
    </row>
    <row r="291" spans="26:26" ht="20.100000000000001" customHeight="1" x14ac:dyDescent="0.2">
      <c r="Z291" s="12"/>
    </row>
    <row r="292" spans="26:26" ht="20.100000000000001" customHeight="1" x14ac:dyDescent="0.2">
      <c r="Z292" s="12"/>
    </row>
    <row r="293" spans="26:26" ht="20.100000000000001" customHeight="1" x14ac:dyDescent="0.2">
      <c r="Z293" s="12"/>
    </row>
    <row r="294" spans="26:26" ht="20.100000000000001" customHeight="1" x14ac:dyDescent="0.2">
      <c r="Z294" s="12"/>
    </row>
    <row r="295" spans="26:26" ht="20.100000000000001" customHeight="1" x14ac:dyDescent="0.2">
      <c r="Z295" s="12"/>
    </row>
    <row r="296" spans="26:26" ht="20.100000000000001" customHeight="1" x14ac:dyDescent="0.2">
      <c r="Z296" s="12"/>
    </row>
    <row r="297" spans="26:26" ht="20.100000000000001" customHeight="1" x14ac:dyDescent="0.2">
      <c r="Z297" s="12"/>
    </row>
    <row r="298" spans="26:26" ht="20.100000000000001" customHeight="1" x14ac:dyDescent="0.2">
      <c r="Z298" s="12"/>
    </row>
    <row r="299" spans="26:26" ht="20.100000000000001" customHeight="1" x14ac:dyDescent="0.2">
      <c r="Z299" s="12"/>
    </row>
    <row r="300" spans="26:26" ht="20.100000000000001" customHeight="1" x14ac:dyDescent="0.2">
      <c r="Z300" s="12"/>
    </row>
    <row r="301" spans="26:26" ht="20.100000000000001" customHeight="1" x14ac:dyDescent="0.2">
      <c r="Z301" s="12"/>
    </row>
    <row r="302" spans="26:26" ht="20.100000000000001" customHeight="1" x14ac:dyDescent="0.2">
      <c r="Z302" s="12"/>
    </row>
    <row r="303" spans="26:26" ht="20.100000000000001" customHeight="1" x14ac:dyDescent="0.2">
      <c r="Z303" s="12"/>
    </row>
    <row r="304" spans="26:26" ht="20.100000000000001" customHeight="1" x14ac:dyDescent="0.2">
      <c r="Z304" s="12"/>
    </row>
    <row r="305" spans="26:26" ht="20.100000000000001" customHeight="1" x14ac:dyDescent="0.2">
      <c r="Z305" s="12"/>
    </row>
    <row r="306" spans="26:26" ht="20.100000000000001" customHeight="1" x14ac:dyDescent="0.2">
      <c r="Z306" s="12"/>
    </row>
    <row r="307" spans="26:26" ht="20.100000000000001" customHeight="1" x14ac:dyDescent="0.2">
      <c r="Z307" s="12"/>
    </row>
    <row r="308" spans="26:26" ht="20.100000000000001" customHeight="1" x14ac:dyDescent="0.2">
      <c r="Z308" s="12"/>
    </row>
    <row r="309" spans="26:26" ht="20.100000000000001" customHeight="1" x14ac:dyDescent="0.2">
      <c r="Z309" s="12"/>
    </row>
    <row r="310" spans="26:26" ht="20.100000000000001" customHeight="1" x14ac:dyDescent="0.2">
      <c r="Z310" s="12"/>
    </row>
    <row r="311" spans="26:26" ht="20.100000000000001" customHeight="1" x14ac:dyDescent="0.2">
      <c r="Z311" s="12"/>
    </row>
    <row r="312" spans="26:26" ht="20.100000000000001" customHeight="1" x14ac:dyDescent="0.2">
      <c r="Z312" s="12"/>
    </row>
    <row r="313" spans="26:26" ht="20.100000000000001" customHeight="1" x14ac:dyDescent="0.2">
      <c r="Z313" s="12"/>
    </row>
    <row r="314" spans="26:26" ht="20.100000000000001" customHeight="1" x14ac:dyDescent="0.2">
      <c r="Z314" s="12"/>
    </row>
    <row r="315" spans="26:26" ht="20.100000000000001" customHeight="1" x14ac:dyDescent="0.2">
      <c r="Z315" s="12"/>
    </row>
    <row r="316" spans="26:26" ht="20.100000000000001" customHeight="1" x14ac:dyDescent="0.2">
      <c r="Z316" s="12"/>
    </row>
    <row r="317" spans="26:26" ht="20.100000000000001" customHeight="1" x14ac:dyDescent="0.2">
      <c r="Z317" s="12"/>
    </row>
    <row r="318" spans="26:26" ht="20.100000000000001" customHeight="1" x14ac:dyDescent="0.2">
      <c r="Z318" s="12"/>
    </row>
    <row r="319" spans="26:26" ht="20.100000000000001" customHeight="1" x14ac:dyDescent="0.2">
      <c r="Z319" s="12"/>
    </row>
    <row r="320" spans="26:26" ht="20.100000000000001" customHeight="1" x14ac:dyDescent="0.2">
      <c r="Z320" s="12"/>
    </row>
    <row r="321" spans="26:26" ht="20.100000000000001" customHeight="1" x14ac:dyDescent="0.2">
      <c r="Z321" s="12"/>
    </row>
    <row r="322" spans="26:26" ht="20.100000000000001" customHeight="1" x14ac:dyDescent="0.2">
      <c r="Z322" s="12"/>
    </row>
    <row r="323" spans="26:26" ht="20.100000000000001" customHeight="1" x14ac:dyDescent="0.2">
      <c r="Z323" s="12"/>
    </row>
    <row r="324" spans="26:26" ht="20.100000000000001" customHeight="1" x14ac:dyDescent="0.2">
      <c r="Z324" s="12"/>
    </row>
    <row r="325" spans="26:26" ht="20.100000000000001" customHeight="1" x14ac:dyDescent="0.2">
      <c r="Z325" s="12"/>
    </row>
    <row r="326" spans="26:26" ht="20.100000000000001" customHeight="1" x14ac:dyDescent="0.2">
      <c r="Z326" s="12"/>
    </row>
    <row r="327" spans="26:26" ht="20.100000000000001" customHeight="1" x14ac:dyDescent="0.2">
      <c r="Z327" s="12"/>
    </row>
    <row r="328" spans="26:26" ht="20.100000000000001" customHeight="1" x14ac:dyDescent="0.2">
      <c r="Z328" s="12"/>
    </row>
    <row r="329" spans="26:26" ht="20.100000000000001" customHeight="1" x14ac:dyDescent="0.2">
      <c r="Z329" s="12"/>
    </row>
    <row r="330" spans="26:26" ht="20.100000000000001" customHeight="1" x14ac:dyDescent="0.2">
      <c r="Z330" s="12"/>
    </row>
    <row r="331" spans="26:26" ht="20.100000000000001" customHeight="1" x14ac:dyDescent="0.2">
      <c r="Z331" s="12"/>
    </row>
    <row r="332" spans="26:26" ht="20.100000000000001" customHeight="1" x14ac:dyDescent="0.2">
      <c r="Z332" s="12"/>
    </row>
    <row r="333" spans="26:26" ht="20.100000000000001" customHeight="1" x14ac:dyDescent="0.2">
      <c r="Z333" s="12"/>
    </row>
    <row r="334" spans="26:26" ht="20.100000000000001" customHeight="1" x14ac:dyDescent="0.2">
      <c r="Z334" s="12"/>
    </row>
    <row r="335" spans="26:26" ht="20.100000000000001" customHeight="1" x14ac:dyDescent="0.2">
      <c r="Z335" s="12"/>
    </row>
    <row r="336" spans="26:26" ht="20.100000000000001" customHeight="1" x14ac:dyDescent="0.2">
      <c r="Z336" s="12"/>
    </row>
    <row r="337" spans="26:26" ht="20.100000000000001" customHeight="1" x14ac:dyDescent="0.2">
      <c r="Z337" s="12"/>
    </row>
    <row r="338" spans="26:26" ht="20.100000000000001" customHeight="1" x14ac:dyDescent="0.2">
      <c r="Z338" s="12"/>
    </row>
    <row r="339" spans="26:26" ht="20.100000000000001" customHeight="1" x14ac:dyDescent="0.2">
      <c r="Z339" s="12"/>
    </row>
    <row r="340" spans="26:26" ht="20.100000000000001" customHeight="1" x14ac:dyDescent="0.2">
      <c r="Z340" s="12"/>
    </row>
    <row r="341" spans="26:26" ht="20.100000000000001" customHeight="1" x14ac:dyDescent="0.2">
      <c r="Z341" s="12"/>
    </row>
    <row r="342" spans="26:26" ht="20.100000000000001" customHeight="1" x14ac:dyDescent="0.2">
      <c r="Z342" s="12"/>
    </row>
    <row r="343" spans="26:26" ht="20.100000000000001" customHeight="1" x14ac:dyDescent="0.2">
      <c r="Z343" s="12"/>
    </row>
    <row r="344" spans="26:26" ht="20.100000000000001" customHeight="1" x14ac:dyDescent="0.2">
      <c r="Z344" s="12"/>
    </row>
    <row r="345" spans="26:26" ht="20.100000000000001" customHeight="1" x14ac:dyDescent="0.2">
      <c r="Z345" s="12"/>
    </row>
    <row r="346" spans="26:26" ht="20.100000000000001" customHeight="1" x14ac:dyDescent="0.2">
      <c r="Z346" s="12"/>
    </row>
    <row r="347" spans="26:26" ht="20.100000000000001" customHeight="1" x14ac:dyDescent="0.2">
      <c r="Z347" s="12"/>
    </row>
    <row r="348" spans="26:26" ht="20.100000000000001" customHeight="1" x14ac:dyDescent="0.2">
      <c r="Z348" s="12"/>
    </row>
    <row r="349" spans="26:26" ht="20.100000000000001" customHeight="1" x14ac:dyDescent="0.2">
      <c r="Z349" s="12"/>
    </row>
    <row r="350" spans="26:26" ht="20.100000000000001" customHeight="1" x14ac:dyDescent="0.2">
      <c r="Z350" s="12"/>
    </row>
    <row r="351" spans="26:26" ht="20.100000000000001" customHeight="1" x14ac:dyDescent="0.2">
      <c r="Z351" s="12"/>
    </row>
    <row r="352" spans="26:26" ht="20.100000000000001" customHeight="1" x14ac:dyDescent="0.2">
      <c r="Z352" s="12"/>
    </row>
    <row r="353" spans="26:26" ht="20.100000000000001" customHeight="1" x14ac:dyDescent="0.2">
      <c r="Z353" s="12"/>
    </row>
    <row r="354" spans="26:26" ht="20.100000000000001" customHeight="1" x14ac:dyDescent="0.2">
      <c r="Z354" s="12"/>
    </row>
    <row r="355" spans="26:26" ht="20.100000000000001" customHeight="1" x14ac:dyDescent="0.2">
      <c r="Z355" s="12"/>
    </row>
    <row r="356" spans="26:26" ht="20.100000000000001" customHeight="1" x14ac:dyDescent="0.2">
      <c r="Z356" s="12"/>
    </row>
    <row r="357" spans="26:26" ht="20.100000000000001" customHeight="1" x14ac:dyDescent="0.2">
      <c r="Z357" s="12"/>
    </row>
    <row r="358" spans="26:26" ht="20.100000000000001" customHeight="1" x14ac:dyDescent="0.2">
      <c r="Z358" s="12"/>
    </row>
    <row r="359" spans="26:26" ht="20.100000000000001" customHeight="1" x14ac:dyDescent="0.2">
      <c r="Z359" s="12"/>
    </row>
    <row r="360" spans="26:26" ht="20.100000000000001" customHeight="1" x14ac:dyDescent="0.2">
      <c r="Z360" s="12"/>
    </row>
    <row r="361" spans="26:26" ht="20.100000000000001" customHeight="1" x14ac:dyDescent="0.2">
      <c r="Z361" s="12"/>
    </row>
    <row r="362" spans="26:26" ht="20.100000000000001" customHeight="1" x14ac:dyDescent="0.2">
      <c r="Z362" s="12"/>
    </row>
    <row r="363" spans="26:26" ht="20.100000000000001" customHeight="1" x14ac:dyDescent="0.2">
      <c r="Z363" s="12"/>
    </row>
    <row r="364" spans="26:26" ht="20.100000000000001" customHeight="1" x14ac:dyDescent="0.2">
      <c r="Z364" s="12"/>
    </row>
    <row r="365" spans="26:26" ht="20.100000000000001" customHeight="1" x14ac:dyDescent="0.2">
      <c r="Z365" s="12"/>
    </row>
    <row r="366" spans="26:26" ht="20.100000000000001" customHeight="1" x14ac:dyDescent="0.2">
      <c r="Z366" s="12"/>
    </row>
    <row r="367" spans="26:26" ht="20.100000000000001" customHeight="1" x14ac:dyDescent="0.2">
      <c r="Z367" s="12"/>
    </row>
    <row r="368" spans="26:26" ht="20.100000000000001" customHeight="1" x14ac:dyDescent="0.2">
      <c r="Z368" s="12"/>
    </row>
    <row r="369" spans="26:26" ht="20.100000000000001" customHeight="1" x14ac:dyDescent="0.2">
      <c r="Z369" s="12"/>
    </row>
    <row r="370" spans="26:26" ht="20.100000000000001" customHeight="1" x14ac:dyDescent="0.2">
      <c r="Z370" s="12"/>
    </row>
    <row r="371" spans="26:26" ht="20.100000000000001" customHeight="1" x14ac:dyDescent="0.2">
      <c r="Z371" s="12"/>
    </row>
    <row r="372" spans="26:26" ht="20.100000000000001" customHeight="1" x14ac:dyDescent="0.2">
      <c r="Z372" s="12"/>
    </row>
    <row r="373" spans="26:26" ht="20.100000000000001" customHeight="1" x14ac:dyDescent="0.2">
      <c r="Z373" s="12"/>
    </row>
    <row r="374" spans="26:26" ht="20.100000000000001" customHeight="1" x14ac:dyDescent="0.2">
      <c r="Z374" s="12"/>
    </row>
    <row r="375" spans="26:26" ht="20.100000000000001" customHeight="1" x14ac:dyDescent="0.2">
      <c r="Z375" s="12"/>
    </row>
    <row r="376" spans="26:26" ht="20.100000000000001" customHeight="1" x14ac:dyDescent="0.2">
      <c r="Z376" s="12"/>
    </row>
    <row r="377" spans="26:26" ht="20.100000000000001" customHeight="1" x14ac:dyDescent="0.2">
      <c r="Z377" s="12"/>
    </row>
    <row r="378" spans="26:26" ht="20.100000000000001" customHeight="1" x14ac:dyDescent="0.2">
      <c r="Z378" s="12"/>
    </row>
    <row r="379" spans="26:26" ht="20.100000000000001" customHeight="1" x14ac:dyDescent="0.2">
      <c r="Z379" s="12"/>
    </row>
    <row r="380" spans="26:26" ht="20.100000000000001" customHeight="1" x14ac:dyDescent="0.2">
      <c r="Z380" s="12"/>
    </row>
    <row r="381" spans="26:26" ht="20.100000000000001" customHeight="1" x14ac:dyDescent="0.2">
      <c r="Z381" s="12"/>
    </row>
    <row r="382" spans="26:26" ht="20.100000000000001" customHeight="1" x14ac:dyDescent="0.2">
      <c r="Z382" s="12"/>
    </row>
    <row r="383" spans="26:26" ht="20.100000000000001" customHeight="1" x14ac:dyDescent="0.2">
      <c r="Z383" s="12"/>
    </row>
    <row r="384" spans="26:26" ht="20.100000000000001" customHeight="1" x14ac:dyDescent="0.2">
      <c r="Z384" s="12"/>
    </row>
    <row r="385" spans="26:26" ht="20.100000000000001" customHeight="1" x14ac:dyDescent="0.2">
      <c r="Z385" s="12"/>
    </row>
    <row r="386" spans="26:26" ht="20.100000000000001" customHeight="1" x14ac:dyDescent="0.2">
      <c r="Z386" s="12"/>
    </row>
    <row r="387" spans="26:26" ht="20.100000000000001" customHeight="1" x14ac:dyDescent="0.2">
      <c r="Z387" s="12"/>
    </row>
    <row r="388" spans="26:26" ht="20.100000000000001" customHeight="1" x14ac:dyDescent="0.2">
      <c r="Z388" s="12"/>
    </row>
    <row r="389" spans="26:26" ht="20.100000000000001" customHeight="1" x14ac:dyDescent="0.2">
      <c r="Z389" s="12"/>
    </row>
    <row r="390" spans="26:26" ht="20.100000000000001" customHeight="1" x14ac:dyDescent="0.2">
      <c r="Z390" s="12"/>
    </row>
    <row r="391" spans="26:26" ht="20.100000000000001" customHeight="1" x14ac:dyDescent="0.2">
      <c r="Z391" s="12"/>
    </row>
    <row r="392" spans="26:26" ht="20.100000000000001" customHeight="1" x14ac:dyDescent="0.2">
      <c r="Z392" s="12"/>
    </row>
    <row r="393" spans="26:26" ht="20.100000000000001" customHeight="1" x14ac:dyDescent="0.2">
      <c r="Z393" s="12"/>
    </row>
    <row r="394" spans="26:26" ht="20.100000000000001" customHeight="1" x14ac:dyDescent="0.2">
      <c r="Z394" s="12"/>
    </row>
    <row r="395" spans="26:26" ht="20.100000000000001" customHeight="1" x14ac:dyDescent="0.2">
      <c r="Z395" s="12"/>
    </row>
    <row r="396" spans="26:26" ht="20.100000000000001" customHeight="1" x14ac:dyDescent="0.2">
      <c r="Z396" s="12"/>
    </row>
    <row r="397" spans="26:26" ht="20.100000000000001" customHeight="1" x14ac:dyDescent="0.2">
      <c r="Z397" s="12"/>
    </row>
    <row r="398" spans="26:26" ht="20.100000000000001" customHeight="1" x14ac:dyDescent="0.2">
      <c r="Z398" s="12"/>
    </row>
    <row r="399" spans="26:26" ht="20.100000000000001" customHeight="1" x14ac:dyDescent="0.2">
      <c r="Z399" s="12"/>
    </row>
    <row r="400" spans="26:26" ht="20.100000000000001" customHeight="1" x14ac:dyDescent="0.2">
      <c r="Z400" s="12"/>
    </row>
    <row r="401" spans="26:26" ht="20.100000000000001" customHeight="1" x14ac:dyDescent="0.2">
      <c r="Z401" s="12"/>
    </row>
    <row r="402" spans="26:26" ht="20.100000000000001" customHeight="1" x14ac:dyDescent="0.2">
      <c r="Z402" s="12"/>
    </row>
    <row r="403" spans="26:26" ht="20.100000000000001" customHeight="1" x14ac:dyDescent="0.2">
      <c r="Z403" s="12"/>
    </row>
    <row r="404" spans="26:26" ht="20.100000000000001" customHeight="1" x14ac:dyDescent="0.2">
      <c r="Z404" s="12"/>
    </row>
    <row r="405" spans="26:26" ht="20.100000000000001" customHeight="1" x14ac:dyDescent="0.2">
      <c r="Z405" s="12"/>
    </row>
    <row r="406" spans="26:26" ht="20.100000000000001" customHeight="1" x14ac:dyDescent="0.2">
      <c r="Z406" s="12"/>
    </row>
    <row r="407" spans="26:26" ht="20.100000000000001" customHeight="1" x14ac:dyDescent="0.2">
      <c r="Z407" s="12"/>
    </row>
    <row r="408" spans="26:26" ht="20.100000000000001" customHeight="1" x14ac:dyDescent="0.2">
      <c r="Z408" s="12"/>
    </row>
    <row r="409" spans="26:26" ht="20.100000000000001" customHeight="1" x14ac:dyDescent="0.2">
      <c r="Z409" s="12"/>
    </row>
    <row r="410" spans="26:26" ht="20.100000000000001" customHeight="1" x14ac:dyDescent="0.2">
      <c r="Z410" s="12"/>
    </row>
    <row r="411" spans="26:26" ht="20.100000000000001" customHeight="1" x14ac:dyDescent="0.2">
      <c r="Z411" s="12"/>
    </row>
    <row r="412" spans="26:26" ht="20.100000000000001" customHeight="1" x14ac:dyDescent="0.2">
      <c r="Z412" s="12"/>
    </row>
    <row r="413" spans="26:26" ht="20.100000000000001" customHeight="1" x14ac:dyDescent="0.2">
      <c r="Z413" s="12"/>
    </row>
    <row r="414" spans="26:26" ht="20.100000000000001" customHeight="1" x14ac:dyDescent="0.2">
      <c r="Z414" s="12"/>
    </row>
    <row r="415" spans="26:26" ht="20.100000000000001" customHeight="1" x14ac:dyDescent="0.2">
      <c r="Z415" s="12"/>
    </row>
    <row r="416" spans="26:26" ht="20.100000000000001" customHeight="1" x14ac:dyDescent="0.2">
      <c r="Z416" s="12"/>
    </row>
    <row r="417" spans="26:26" ht="20.100000000000001" customHeight="1" x14ac:dyDescent="0.2">
      <c r="Z417" s="12"/>
    </row>
    <row r="418" spans="26:26" ht="20.100000000000001" customHeight="1" x14ac:dyDescent="0.2">
      <c r="Z418" s="12"/>
    </row>
    <row r="419" spans="26:26" ht="20.100000000000001" customHeight="1" x14ac:dyDescent="0.2">
      <c r="Z419" s="12"/>
    </row>
    <row r="420" spans="26:26" ht="20.100000000000001" customHeight="1" x14ac:dyDescent="0.2">
      <c r="Z420" s="12"/>
    </row>
    <row r="421" spans="26:26" ht="20.100000000000001" customHeight="1" x14ac:dyDescent="0.2">
      <c r="Z421" s="12"/>
    </row>
    <row r="422" spans="26:26" ht="20.100000000000001" customHeight="1" x14ac:dyDescent="0.2">
      <c r="Z422" s="12"/>
    </row>
    <row r="423" spans="26:26" ht="20.100000000000001" customHeight="1" x14ac:dyDescent="0.2">
      <c r="Z423" s="12"/>
    </row>
    <row r="424" spans="26:26" ht="20.100000000000001" customHeight="1" x14ac:dyDescent="0.2">
      <c r="Z424" s="12"/>
    </row>
    <row r="425" spans="26:26" ht="20.100000000000001" customHeight="1" x14ac:dyDescent="0.2">
      <c r="Z425" s="12"/>
    </row>
    <row r="426" spans="26:26" ht="20.100000000000001" customHeight="1" x14ac:dyDescent="0.2">
      <c r="Z426" s="12"/>
    </row>
    <row r="427" spans="26:26" ht="20.100000000000001" customHeight="1" x14ac:dyDescent="0.2">
      <c r="Z427" s="12"/>
    </row>
    <row r="428" spans="26:26" ht="20.100000000000001" customHeight="1" x14ac:dyDescent="0.2">
      <c r="Z428" s="12"/>
    </row>
    <row r="429" spans="26:26" ht="20.100000000000001" customHeight="1" x14ac:dyDescent="0.2">
      <c r="Z429" s="12"/>
    </row>
    <row r="430" spans="26:26" ht="20.100000000000001" customHeight="1" x14ac:dyDescent="0.2">
      <c r="Z430" s="12"/>
    </row>
    <row r="431" spans="26:26" ht="20.100000000000001" customHeight="1" x14ac:dyDescent="0.2">
      <c r="Z431" s="12"/>
    </row>
    <row r="432" spans="26:26" ht="20.100000000000001" customHeight="1" x14ac:dyDescent="0.2">
      <c r="Z432" s="12"/>
    </row>
    <row r="433" spans="26:26" ht="20.100000000000001" customHeight="1" x14ac:dyDescent="0.2">
      <c r="Z433" s="12"/>
    </row>
    <row r="434" spans="26:26" ht="20.100000000000001" customHeight="1" x14ac:dyDescent="0.2">
      <c r="Z434" s="12"/>
    </row>
    <row r="435" spans="26:26" ht="20.100000000000001" customHeight="1" x14ac:dyDescent="0.2">
      <c r="Z435" s="12"/>
    </row>
    <row r="436" spans="26:26" ht="20.100000000000001" customHeight="1" x14ac:dyDescent="0.2">
      <c r="Z436" s="12"/>
    </row>
    <row r="437" spans="26:26" ht="20.100000000000001" customHeight="1" x14ac:dyDescent="0.2">
      <c r="Z437" s="12"/>
    </row>
    <row r="438" spans="26:26" ht="20.100000000000001" customHeight="1" x14ac:dyDescent="0.2">
      <c r="Z438" s="12"/>
    </row>
    <row r="439" spans="26:26" ht="20.100000000000001" customHeight="1" x14ac:dyDescent="0.2">
      <c r="Z439" s="12"/>
    </row>
    <row r="440" spans="26:26" ht="20.100000000000001" customHeight="1" x14ac:dyDescent="0.2">
      <c r="Z440" s="12"/>
    </row>
    <row r="441" spans="26:26" ht="20.100000000000001" customHeight="1" x14ac:dyDescent="0.2">
      <c r="Z441" s="12"/>
    </row>
    <row r="442" spans="26:26" ht="20.100000000000001" customHeight="1" x14ac:dyDescent="0.2">
      <c r="Z442" s="12"/>
    </row>
    <row r="443" spans="26:26" ht="20.100000000000001" customHeight="1" x14ac:dyDescent="0.2">
      <c r="Z443" s="12"/>
    </row>
    <row r="444" spans="26:26" ht="20.100000000000001" customHeight="1" x14ac:dyDescent="0.2">
      <c r="Z444" s="12"/>
    </row>
    <row r="445" spans="26:26" ht="20.100000000000001" customHeight="1" x14ac:dyDescent="0.2">
      <c r="Z445" s="12"/>
    </row>
    <row r="446" spans="26:26" ht="20.100000000000001" customHeight="1" x14ac:dyDescent="0.2">
      <c r="Z446" s="12"/>
    </row>
    <row r="447" spans="26:26" ht="20.100000000000001" customHeight="1" x14ac:dyDescent="0.2">
      <c r="Z447" s="12"/>
    </row>
    <row r="448" spans="26:26" ht="20.100000000000001" customHeight="1" x14ac:dyDescent="0.2">
      <c r="Z448" s="12"/>
    </row>
    <row r="449" spans="26:26" ht="20.100000000000001" customHeight="1" x14ac:dyDescent="0.2">
      <c r="Z449" s="12"/>
    </row>
    <row r="450" spans="26:26" ht="20.100000000000001" customHeight="1" x14ac:dyDescent="0.2">
      <c r="Z450" s="12"/>
    </row>
    <row r="451" spans="26:26" ht="20.100000000000001" customHeight="1" x14ac:dyDescent="0.2">
      <c r="Z451" s="12"/>
    </row>
    <row r="452" spans="26:26" ht="20.100000000000001" customHeight="1" x14ac:dyDescent="0.2">
      <c r="Z452" s="12"/>
    </row>
    <row r="453" spans="26:26" ht="20.100000000000001" customHeight="1" x14ac:dyDescent="0.2">
      <c r="Z453" s="12"/>
    </row>
    <row r="454" spans="26:26" ht="20.100000000000001" customHeight="1" x14ac:dyDescent="0.2">
      <c r="Z454" s="12"/>
    </row>
    <row r="455" spans="26:26" ht="20.100000000000001" customHeight="1" x14ac:dyDescent="0.2">
      <c r="Z455" s="12"/>
    </row>
    <row r="456" spans="26:26" ht="20.100000000000001" customHeight="1" x14ac:dyDescent="0.2">
      <c r="Z456" s="12"/>
    </row>
    <row r="457" spans="26:26" ht="20.100000000000001" customHeight="1" x14ac:dyDescent="0.2">
      <c r="Z457" s="12"/>
    </row>
    <row r="458" spans="26:26" ht="20.100000000000001" customHeight="1" x14ac:dyDescent="0.2">
      <c r="Z458" s="12"/>
    </row>
    <row r="459" spans="26:26" ht="20.100000000000001" customHeight="1" x14ac:dyDescent="0.2">
      <c r="Z459" s="12"/>
    </row>
    <row r="460" spans="26:26" ht="20.100000000000001" customHeight="1" x14ac:dyDescent="0.2">
      <c r="Z460" s="12"/>
    </row>
    <row r="461" spans="26:26" ht="20.100000000000001" customHeight="1" x14ac:dyDescent="0.2">
      <c r="Z461" s="12"/>
    </row>
    <row r="462" spans="26:26" ht="20.100000000000001" customHeight="1" x14ac:dyDescent="0.2">
      <c r="Z462" s="12"/>
    </row>
    <row r="463" spans="26:26" ht="20.100000000000001" customHeight="1" x14ac:dyDescent="0.2">
      <c r="Z463" s="12"/>
    </row>
    <row r="464" spans="26:26" ht="20.100000000000001" customHeight="1" x14ac:dyDescent="0.2">
      <c r="Z464" s="12"/>
    </row>
    <row r="465" spans="26:26" ht="20.100000000000001" customHeight="1" x14ac:dyDescent="0.2">
      <c r="Z465" s="12"/>
    </row>
    <row r="466" spans="26:26" ht="20.100000000000001" customHeight="1" x14ac:dyDescent="0.2">
      <c r="Z466" s="12"/>
    </row>
    <row r="467" spans="26:26" ht="20.100000000000001" customHeight="1" x14ac:dyDescent="0.2">
      <c r="Z467" s="12"/>
    </row>
    <row r="468" spans="26:26" ht="20.100000000000001" customHeight="1" x14ac:dyDescent="0.2">
      <c r="Z468" s="12"/>
    </row>
    <row r="469" spans="26:26" ht="20.100000000000001" customHeight="1" x14ac:dyDescent="0.2">
      <c r="Z469" s="12"/>
    </row>
    <row r="470" spans="26:26" ht="20.100000000000001" customHeight="1" x14ac:dyDescent="0.2">
      <c r="Z470" s="12"/>
    </row>
    <row r="471" spans="26:26" ht="20.100000000000001" customHeight="1" x14ac:dyDescent="0.2">
      <c r="Z471" s="12"/>
    </row>
    <row r="472" spans="26:26" ht="20.100000000000001" customHeight="1" x14ac:dyDescent="0.2">
      <c r="Z472" s="12"/>
    </row>
    <row r="473" spans="26:26" ht="20.100000000000001" customHeight="1" x14ac:dyDescent="0.2">
      <c r="Z473" s="12"/>
    </row>
    <row r="474" spans="26:26" ht="20.100000000000001" customHeight="1" x14ac:dyDescent="0.2">
      <c r="Z474" s="12"/>
    </row>
    <row r="475" spans="26:26" ht="20.100000000000001" customHeight="1" x14ac:dyDescent="0.2">
      <c r="Z475" s="12"/>
    </row>
    <row r="476" spans="26:26" ht="20.100000000000001" customHeight="1" x14ac:dyDescent="0.2">
      <c r="Z476" s="12"/>
    </row>
    <row r="477" spans="26:26" ht="20.100000000000001" customHeight="1" x14ac:dyDescent="0.2">
      <c r="Z477" s="12"/>
    </row>
    <row r="478" spans="26:26" ht="20.100000000000001" customHeight="1" x14ac:dyDescent="0.2">
      <c r="Z478" s="12"/>
    </row>
    <row r="479" spans="26:26" ht="20.100000000000001" customHeight="1" x14ac:dyDescent="0.2">
      <c r="Z479" s="12"/>
    </row>
    <row r="480" spans="26:26" ht="20.100000000000001" customHeight="1" x14ac:dyDescent="0.2">
      <c r="Z480" s="12"/>
    </row>
    <row r="481" spans="26:26" ht="20.100000000000001" customHeight="1" x14ac:dyDescent="0.2">
      <c r="Z481" s="12"/>
    </row>
    <row r="482" spans="26:26" ht="20.100000000000001" customHeight="1" x14ac:dyDescent="0.2">
      <c r="Z482" s="12"/>
    </row>
    <row r="483" spans="26:26" ht="20.100000000000001" customHeight="1" x14ac:dyDescent="0.2">
      <c r="Z483" s="12"/>
    </row>
    <row r="484" spans="26:26" ht="20.100000000000001" customHeight="1" x14ac:dyDescent="0.2">
      <c r="Z484" s="12"/>
    </row>
    <row r="485" spans="26:26" ht="20.100000000000001" customHeight="1" x14ac:dyDescent="0.2">
      <c r="Z485" s="12"/>
    </row>
    <row r="486" spans="26:26" ht="20.100000000000001" customHeight="1" x14ac:dyDescent="0.2">
      <c r="Z486" s="12"/>
    </row>
    <row r="487" spans="26:26" ht="20.100000000000001" customHeight="1" x14ac:dyDescent="0.2">
      <c r="Z487" s="12"/>
    </row>
    <row r="488" spans="26:26" ht="20.100000000000001" customHeight="1" x14ac:dyDescent="0.2">
      <c r="Z488" s="12"/>
    </row>
    <row r="489" spans="26:26" ht="20.100000000000001" customHeight="1" x14ac:dyDescent="0.2">
      <c r="Z489" s="12"/>
    </row>
    <row r="490" spans="26:26" ht="20.100000000000001" customHeight="1" x14ac:dyDescent="0.2">
      <c r="Z490" s="12"/>
    </row>
    <row r="491" spans="26:26" ht="20.100000000000001" customHeight="1" x14ac:dyDescent="0.2">
      <c r="Z491" s="12"/>
    </row>
    <row r="492" spans="26:26" ht="20.100000000000001" customHeight="1" x14ac:dyDescent="0.2">
      <c r="Z492" s="12"/>
    </row>
    <row r="493" spans="26:26" ht="20.100000000000001" customHeight="1" x14ac:dyDescent="0.2">
      <c r="Z493" s="12"/>
    </row>
    <row r="494" spans="26:26" ht="20.100000000000001" customHeight="1" x14ac:dyDescent="0.2">
      <c r="Z494" s="12"/>
    </row>
    <row r="495" spans="26:26" ht="20.100000000000001" customHeight="1" x14ac:dyDescent="0.2">
      <c r="Z495" s="12"/>
    </row>
    <row r="496" spans="26:26" ht="20.100000000000001" customHeight="1" x14ac:dyDescent="0.2">
      <c r="Z496" s="12"/>
    </row>
    <row r="497" spans="26:26" ht="20.100000000000001" customHeight="1" x14ac:dyDescent="0.2">
      <c r="Z497" s="12"/>
    </row>
    <row r="498" spans="26:26" ht="20.100000000000001" customHeight="1" x14ac:dyDescent="0.2">
      <c r="Z498" s="12"/>
    </row>
    <row r="499" spans="26:26" ht="20.100000000000001" customHeight="1" x14ac:dyDescent="0.2">
      <c r="Z499" s="12"/>
    </row>
    <row r="500" spans="26:26" ht="20.100000000000001" customHeight="1" x14ac:dyDescent="0.2">
      <c r="Z500" s="12"/>
    </row>
    <row r="501" spans="26:26" ht="20.100000000000001" customHeight="1" x14ac:dyDescent="0.2">
      <c r="Z501" s="12"/>
    </row>
    <row r="502" spans="26:26" ht="20.100000000000001" customHeight="1" x14ac:dyDescent="0.2">
      <c r="Z502" s="12"/>
    </row>
    <row r="503" spans="26:26" ht="20.100000000000001" customHeight="1" x14ac:dyDescent="0.2">
      <c r="Z503" s="12"/>
    </row>
    <row r="504" spans="26:26" ht="20.100000000000001" customHeight="1" x14ac:dyDescent="0.2">
      <c r="Z504" s="12"/>
    </row>
    <row r="505" spans="26:26" ht="20.100000000000001" customHeight="1" x14ac:dyDescent="0.2">
      <c r="Z505" s="12"/>
    </row>
    <row r="506" spans="26:26" ht="20.100000000000001" customHeight="1" x14ac:dyDescent="0.2">
      <c r="Z506" s="12"/>
    </row>
    <row r="507" spans="26:26" ht="20.100000000000001" customHeight="1" x14ac:dyDescent="0.2">
      <c r="Z507" s="12"/>
    </row>
    <row r="508" spans="26:26" ht="20.100000000000001" customHeight="1" x14ac:dyDescent="0.2">
      <c r="Z508" s="12"/>
    </row>
    <row r="509" spans="26:26" ht="20.100000000000001" customHeight="1" x14ac:dyDescent="0.2">
      <c r="Z509" s="12"/>
    </row>
    <row r="510" spans="26:26" ht="20.100000000000001" customHeight="1" x14ac:dyDescent="0.2">
      <c r="Z510" s="12"/>
    </row>
    <row r="511" spans="26:26" ht="20.100000000000001" customHeight="1" x14ac:dyDescent="0.2">
      <c r="Z511" s="12"/>
    </row>
    <row r="512" spans="26:26" ht="20.100000000000001" customHeight="1" x14ac:dyDescent="0.2">
      <c r="Z512" s="12"/>
    </row>
    <row r="513" spans="26:26" ht="20.100000000000001" customHeight="1" x14ac:dyDescent="0.2">
      <c r="Z513" s="12"/>
    </row>
    <row r="514" spans="26:26" ht="20.100000000000001" customHeight="1" x14ac:dyDescent="0.2">
      <c r="Z514" s="12"/>
    </row>
    <row r="515" spans="26:26" ht="20.100000000000001" customHeight="1" x14ac:dyDescent="0.2">
      <c r="Z515" s="12"/>
    </row>
    <row r="516" spans="26:26" ht="20.100000000000001" customHeight="1" x14ac:dyDescent="0.2">
      <c r="Z516" s="12"/>
    </row>
    <row r="517" spans="26:26" ht="20.100000000000001" customHeight="1" x14ac:dyDescent="0.2">
      <c r="Z517" s="12"/>
    </row>
    <row r="518" spans="26:26" ht="20.100000000000001" customHeight="1" x14ac:dyDescent="0.2">
      <c r="Z518" s="12"/>
    </row>
    <row r="519" spans="26:26" ht="20.100000000000001" customHeight="1" x14ac:dyDescent="0.2">
      <c r="Z519" s="12"/>
    </row>
    <row r="520" spans="26:26" ht="20.100000000000001" customHeight="1" x14ac:dyDescent="0.2">
      <c r="Z520" s="12"/>
    </row>
    <row r="521" spans="26:26" ht="20.100000000000001" customHeight="1" x14ac:dyDescent="0.2">
      <c r="Z521" s="12"/>
    </row>
    <row r="522" spans="26:26" ht="20.100000000000001" customHeight="1" x14ac:dyDescent="0.2">
      <c r="Z522" s="12"/>
    </row>
    <row r="523" spans="26:26" ht="20.100000000000001" customHeight="1" x14ac:dyDescent="0.2">
      <c r="Z523" s="12"/>
    </row>
    <row r="524" spans="26:26" ht="20.100000000000001" customHeight="1" x14ac:dyDescent="0.2">
      <c r="Z524" s="12"/>
    </row>
    <row r="525" spans="26:26" ht="20.100000000000001" customHeight="1" x14ac:dyDescent="0.2">
      <c r="Z525" s="12"/>
    </row>
    <row r="526" spans="26:26" ht="20.100000000000001" customHeight="1" x14ac:dyDescent="0.2">
      <c r="Z526" s="12"/>
    </row>
    <row r="527" spans="26:26" ht="20.100000000000001" customHeight="1" x14ac:dyDescent="0.2">
      <c r="Z527" s="12"/>
    </row>
    <row r="528" spans="26:26" ht="20.100000000000001" customHeight="1" x14ac:dyDescent="0.2">
      <c r="Z528" s="12"/>
    </row>
    <row r="529" spans="26:26" ht="20.100000000000001" customHeight="1" x14ac:dyDescent="0.2">
      <c r="Z529" s="12"/>
    </row>
    <row r="530" spans="26:26" ht="20.100000000000001" customHeight="1" x14ac:dyDescent="0.2">
      <c r="Z530" s="12"/>
    </row>
    <row r="531" spans="26:26" ht="20.100000000000001" customHeight="1" x14ac:dyDescent="0.2">
      <c r="Z531" s="12"/>
    </row>
    <row r="532" spans="26:26" ht="20.100000000000001" customHeight="1" x14ac:dyDescent="0.2">
      <c r="Z532" s="12"/>
    </row>
    <row r="533" spans="26:26" ht="20.100000000000001" customHeight="1" x14ac:dyDescent="0.2">
      <c r="Z533" s="12"/>
    </row>
    <row r="534" spans="26:26" ht="20.100000000000001" customHeight="1" x14ac:dyDescent="0.2">
      <c r="Z534" s="12"/>
    </row>
    <row r="535" spans="26:26" ht="20.100000000000001" customHeight="1" x14ac:dyDescent="0.2">
      <c r="Z535" s="12"/>
    </row>
    <row r="536" spans="26:26" ht="20.100000000000001" customHeight="1" x14ac:dyDescent="0.2">
      <c r="Z536" s="12"/>
    </row>
    <row r="537" spans="26:26" ht="20.100000000000001" customHeight="1" x14ac:dyDescent="0.2">
      <c r="Z537" s="12"/>
    </row>
    <row r="538" spans="26:26" ht="20.100000000000001" customHeight="1" x14ac:dyDescent="0.2">
      <c r="Z538" s="12"/>
    </row>
    <row r="539" spans="26:26" ht="20.100000000000001" customHeight="1" x14ac:dyDescent="0.2">
      <c r="Z539" s="12"/>
    </row>
    <row r="540" spans="26:26" ht="20.100000000000001" customHeight="1" x14ac:dyDescent="0.2">
      <c r="Z540" s="12"/>
    </row>
    <row r="541" spans="26:26" ht="20.100000000000001" customHeight="1" x14ac:dyDescent="0.2">
      <c r="Z541" s="12"/>
    </row>
    <row r="542" spans="26:26" ht="20.100000000000001" customHeight="1" x14ac:dyDescent="0.2">
      <c r="Z542" s="12"/>
    </row>
    <row r="543" spans="26:26" ht="20.100000000000001" customHeight="1" x14ac:dyDescent="0.2">
      <c r="Z543" s="12"/>
    </row>
    <row r="544" spans="26:26" ht="20.100000000000001" customHeight="1" x14ac:dyDescent="0.2">
      <c r="Z544" s="12"/>
    </row>
    <row r="545" spans="26:26" ht="20.100000000000001" customHeight="1" x14ac:dyDescent="0.2">
      <c r="Z545" s="12"/>
    </row>
    <row r="546" spans="26:26" ht="20.100000000000001" customHeight="1" x14ac:dyDescent="0.2">
      <c r="Z546" s="12"/>
    </row>
    <row r="547" spans="26:26" ht="20.100000000000001" customHeight="1" x14ac:dyDescent="0.2">
      <c r="Z547" s="12"/>
    </row>
    <row r="548" spans="26:26" ht="20.100000000000001" customHeight="1" x14ac:dyDescent="0.2">
      <c r="Z548" s="12"/>
    </row>
    <row r="549" spans="26:26" ht="20.100000000000001" customHeight="1" x14ac:dyDescent="0.2">
      <c r="Z549" s="12"/>
    </row>
    <row r="550" spans="26:26" ht="20.100000000000001" customHeight="1" x14ac:dyDescent="0.2">
      <c r="Z550" s="12"/>
    </row>
    <row r="551" spans="26:26" ht="20.100000000000001" customHeight="1" x14ac:dyDescent="0.2">
      <c r="Z551" s="12"/>
    </row>
    <row r="552" spans="26:26" ht="20.100000000000001" customHeight="1" x14ac:dyDescent="0.2">
      <c r="Z552" s="12"/>
    </row>
    <row r="553" spans="26:26" ht="20.100000000000001" customHeight="1" x14ac:dyDescent="0.2">
      <c r="Z553" s="12"/>
    </row>
    <row r="554" spans="26:26" ht="20.100000000000001" customHeight="1" x14ac:dyDescent="0.2">
      <c r="Z554" s="12"/>
    </row>
    <row r="555" spans="26:26" ht="20.100000000000001" customHeight="1" x14ac:dyDescent="0.2">
      <c r="Z555" s="12"/>
    </row>
    <row r="556" spans="26:26" ht="20.100000000000001" customHeight="1" x14ac:dyDescent="0.2">
      <c r="Z556" s="12"/>
    </row>
    <row r="557" spans="26:26" ht="20.100000000000001" customHeight="1" x14ac:dyDescent="0.2">
      <c r="Z557" s="12"/>
    </row>
    <row r="558" spans="26:26" ht="20.100000000000001" customHeight="1" x14ac:dyDescent="0.2">
      <c r="Z558" s="12"/>
    </row>
    <row r="559" spans="26:26" ht="20.100000000000001" customHeight="1" x14ac:dyDescent="0.2">
      <c r="Z559" s="12"/>
    </row>
    <row r="560" spans="26:26" ht="20.100000000000001" customHeight="1" x14ac:dyDescent="0.2">
      <c r="Z560" s="12"/>
    </row>
    <row r="561" spans="26:26" ht="20.100000000000001" customHeight="1" x14ac:dyDescent="0.2">
      <c r="Z561" s="12"/>
    </row>
    <row r="562" spans="26:26" ht="20.100000000000001" customHeight="1" x14ac:dyDescent="0.2">
      <c r="Z562" s="12"/>
    </row>
    <row r="563" spans="26:26" ht="20.100000000000001" customHeight="1" x14ac:dyDescent="0.2">
      <c r="Z563" s="12"/>
    </row>
    <row r="564" spans="26:26" ht="20.100000000000001" customHeight="1" x14ac:dyDescent="0.2">
      <c r="Z564" s="12"/>
    </row>
    <row r="565" spans="26:26" ht="20.100000000000001" customHeight="1" x14ac:dyDescent="0.2">
      <c r="Z565" s="12"/>
    </row>
    <row r="566" spans="26:26" ht="20.100000000000001" customHeight="1" x14ac:dyDescent="0.2">
      <c r="Z566" s="12"/>
    </row>
    <row r="567" spans="26:26" ht="20.100000000000001" customHeight="1" x14ac:dyDescent="0.2">
      <c r="Z567" s="12"/>
    </row>
    <row r="568" spans="26:26" ht="20.100000000000001" customHeight="1" x14ac:dyDescent="0.2">
      <c r="Z568" s="12"/>
    </row>
    <row r="569" spans="26:26" ht="20.100000000000001" customHeight="1" x14ac:dyDescent="0.2">
      <c r="Z569" s="12"/>
    </row>
    <row r="570" spans="26:26" ht="20.100000000000001" customHeight="1" x14ac:dyDescent="0.2">
      <c r="Z570" s="12"/>
    </row>
    <row r="571" spans="26:26" ht="20.100000000000001" customHeight="1" x14ac:dyDescent="0.2">
      <c r="Z571" s="12"/>
    </row>
    <row r="572" spans="26:26" ht="20.100000000000001" customHeight="1" x14ac:dyDescent="0.2">
      <c r="Z572" s="12"/>
    </row>
    <row r="573" spans="26:26" ht="20.100000000000001" customHeight="1" x14ac:dyDescent="0.2">
      <c r="Z573" s="12"/>
    </row>
    <row r="574" spans="26:26" ht="20.100000000000001" customHeight="1" x14ac:dyDescent="0.2">
      <c r="Z574" s="12"/>
    </row>
    <row r="575" spans="26:26" ht="20.100000000000001" customHeight="1" x14ac:dyDescent="0.2">
      <c r="Z575" s="12"/>
    </row>
    <row r="576" spans="26:26" ht="20.100000000000001" customHeight="1" x14ac:dyDescent="0.2">
      <c r="Z576" s="12"/>
    </row>
    <row r="577" spans="26:26" ht="20.100000000000001" customHeight="1" x14ac:dyDescent="0.2">
      <c r="Z577" s="12"/>
    </row>
    <row r="578" spans="26:26" ht="20.100000000000001" customHeight="1" x14ac:dyDescent="0.2">
      <c r="Z578" s="12"/>
    </row>
    <row r="579" spans="26:26" ht="20.100000000000001" customHeight="1" x14ac:dyDescent="0.2">
      <c r="Z579" s="12"/>
    </row>
    <row r="580" spans="26:26" ht="20.100000000000001" customHeight="1" x14ac:dyDescent="0.2">
      <c r="Z580" s="12"/>
    </row>
    <row r="581" spans="26:26" ht="20.100000000000001" customHeight="1" x14ac:dyDescent="0.2">
      <c r="Z581" s="12"/>
    </row>
    <row r="582" spans="26:26" ht="20.100000000000001" customHeight="1" x14ac:dyDescent="0.2">
      <c r="Z582" s="12"/>
    </row>
    <row r="583" spans="26:26" ht="20.100000000000001" customHeight="1" x14ac:dyDescent="0.2">
      <c r="Z583" s="12"/>
    </row>
    <row r="584" spans="26:26" ht="20.100000000000001" customHeight="1" x14ac:dyDescent="0.2">
      <c r="Z584" s="12"/>
    </row>
    <row r="585" spans="26:26" ht="20.100000000000001" customHeight="1" x14ac:dyDescent="0.2">
      <c r="Z585" s="12"/>
    </row>
    <row r="586" spans="26:26" ht="20.100000000000001" customHeight="1" x14ac:dyDescent="0.2">
      <c r="Z586" s="12"/>
    </row>
    <row r="587" spans="26:26" ht="20.100000000000001" customHeight="1" x14ac:dyDescent="0.2">
      <c r="Z587" s="12"/>
    </row>
    <row r="588" spans="26:26" ht="20.100000000000001" customHeight="1" x14ac:dyDescent="0.2">
      <c r="Z588" s="12"/>
    </row>
    <row r="589" spans="26:26" ht="20.100000000000001" customHeight="1" x14ac:dyDescent="0.2">
      <c r="Z589" s="12"/>
    </row>
    <row r="590" spans="26:26" ht="20.100000000000001" customHeight="1" x14ac:dyDescent="0.2">
      <c r="Z590" s="12"/>
    </row>
    <row r="591" spans="26:26" ht="20.100000000000001" customHeight="1" x14ac:dyDescent="0.2">
      <c r="Z591" s="12"/>
    </row>
    <row r="592" spans="26:26" ht="20.100000000000001" customHeight="1" x14ac:dyDescent="0.2">
      <c r="Z592" s="12"/>
    </row>
    <row r="593" spans="26:26" ht="20.100000000000001" customHeight="1" x14ac:dyDescent="0.2">
      <c r="Z593" s="12"/>
    </row>
    <row r="594" spans="26:26" ht="20.100000000000001" customHeight="1" x14ac:dyDescent="0.2">
      <c r="Z594" s="12"/>
    </row>
    <row r="595" spans="26:26" ht="20.100000000000001" customHeight="1" x14ac:dyDescent="0.2">
      <c r="Z595" s="12"/>
    </row>
    <row r="596" spans="26:26" ht="20.100000000000001" customHeight="1" x14ac:dyDescent="0.2">
      <c r="Z596" s="12"/>
    </row>
    <row r="597" spans="26:26" ht="20.100000000000001" customHeight="1" x14ac:dyDescent="0.2">
      <c r="Z597" s="12"/>
    </row>
    <row r="598" spans="26:26" ht="20.100000000000001" customHeight="1" x14ac:dyDescent="0.2">
      <c r="Z598" s="12"/>
    </row>
    <row r="599" spans="26:26" ht="20.100000000000001" customHeight="1" x14ac:dyDescent="0.2">
      <c r="Z599" s="12"/>
    </row>
    <row r="600" spans="26:26" ht="20.100000000000001" customHeight="1" x14ac:dyDescent="0.2">
      <c r="Z600" s="12"/>
    </row>
    <row r="601" spans="26:26" ht="20.100000000000001" customHeight="1" x14ac:dyDescent="0.2">
      <c r="Z601" s="12"/>
    </row>
    <row r="602" spans="26:26" ht="20.100000000000001" customHeight="1" x14ac:dyDescent="0.2">
      <c r="Z602" s="12"/>
    </row>
    <row r="603" spans="26:26" ht="20.100000000000001" customHeight="1" x14ac:dyDescent="0.2">
      <c r="Z603" s="12"/>
    </row>
    <row r="604" spans="26:26" ht="20.100000000000001" customHeight="1" x14ac:dyDescent="0.2">
      <c r="Z604" s="12"/>
    </row>
    <row r="605" spans="26:26" ht="20.100000000000001" customHeight="1" x14ac:dyDescent="0.2">
      <c r="Z605" s="12"/>
    </row>
    <row r="606" spans="26:26" ht="20.100000000000001" customHeight="1" x14ac:dyDescent="0.2">
      <c r="Z606" s="12"/>
    </row>
    <row r="607" spans="26:26" ht="20.100000000000001" customHeight="1" x14ac:dyDescent="0.2">
      <c r="Z607" s="12"/>
    </row>
    <row r="608" spans="26:26" ht="20.100000000000001" customHeight="1" x14ac:dyDescent="0.2">
      <c r="Z608" s="12"/>
    </row>
    <row r="609" spans="26:26" ht="20.100000000000001" customHeight="1" x14ac:dyDescent="0.2">
      <c r="Z609" s="12"/>
    </row>
    <row r="610" spans="26:26" ht="20.100000000000001" customHeight="1" x14ac:dyDescent="0.2">
      <c r="Z610" s="12"/>
    </row>
    <row r="611" spans="26:26" ht="20.100000000000001" customHeight="1" x14ac:dyDescent="0.2">
      <c r="Z611" s="12"/>
    </row>
    <row r="612" spans="26:26" ht="20.100000000000001" customHeight="1" x14ac:dyDescent="0.2">
      <c r="Z612" s="12"/>
    </row>
    <row r="613" spans="26:26" ht="20.100000000000001" customHeight="1" x14ac:dyDescent="0.2">
      <c r="Z613" s="12"/>
    </row>
    <row r="614" spans="26:26" ht="20.100000000000001" customHeight="1" x14ac:dyDescent="0.2">
      <c r="Z614" s="12"/>
    </row>
    <row r="615" spans="26:26" ht="20.100000000000001" customHeight="1" x14ac:dyDescent="0.2">
      <c r="Z615" s="12"/>
    </row>
    <row r="616" spans="26:26" ht="20.100000000000001" customHeight="1" x14ac:dyDescent="0.2">
      <c r="Z616" s="12"/>
    </row>
    <row r="617" spans="26:26" ht="20.100000000000001" customHeight="1" x14ac:dyDescent="0.2">
      <c r="Z617" s="12"/>
    </row>
    <row r="618" spans="26:26" ht="20.100000000000001" customHeight="1" x14ac:dyDescent="0.2">
      <c r="Z618" s="12"/>
    </row>
    <row r="619" spans="26:26" ht="20.100000000000001" customHeight="1" x14ac:dyDescent="0.2">
      <c r="Z619" s="12"/>
    </row>
    <row r="620" spans="26:26" ht="20.100000000000001" customHeight="1" x14ac:dyDescent="0.2">
      <c r="Z620" s="12"/>
    </row>
    <row r="621" spans="26:26" ht="20.100000000000001" customHeight="1" x14ac:dyDescent="0.2">
      <c r="Z621" s="12"/>
    </row>
    <row r="622" spans="26:26" ht="20.100000000000001" customHeight="1" x14ac:dyDescent="0.2">
      <c r="Z622" s="12"/>
    </row>
    <row r="623" spans="26:26" ht="20.100000000000001" customHeight="1" x14ac:dyDescent="0.2">
      <c r="Z623" s="12"/>
    </row>
    <row r="624" spans="26:26" ht="20.100000000000001" customHeight="1" x14ac:dyDescent="0.2">
      <c r="Z624" s="12"/>
    </row>
    <row r="625" spans="26:26" ht="20.100000000000001" customHeight="1" x14ac:dyDescent="0.2">
      <c r="Z625" s="12"/>
    </row>
    <row r="626" spans="26:26" ht="20.100000000000001" customHeight="1" x14ac:dyDescent="0.2">
      <c r="Z626" s="12"/>
    </row>
    <row r="627" spans="26:26" ht="20.100000000000001" customHeight="1" x14ac:dyDescent="0.2">
      <c r="Z627" s="12"/>
    </row>
    <row r="628" spans="26:26" ht="20.100000000000001" customHeight="1" x14ac:dyDescent="0.2">
      <c r="Z628" s="12"/>
    </row>
    <row r="629" spans="26:26" ht="20.100000000000001" customHeight="1" x14ac:dyDescent="0.2">
      <c r="Z629" s="12"/>
    </row>
    <row r="630" spans="26:26" ht="20.100000000000001" customHeight="1" x14ac:dyDescent="0.2">
      <c r="Z630" s="12"/>
    </row>
    <row r="631" spans="26:26" ht="20.100000000000001" customHeight="1" x14ac:dyDescent="0.2">
      <c r="Z631" s="12"/>
    </row>
    <row r="632" spans="26:26" ht="20.100000000000001" customHeight="1" x14ac:dyDescent="0.2">
      <c r="Z632" s="12"/>
    </row>
    <row r="633" spans="26:26" ht="20.100000000000001" customHeight="1" x14ac:dyDescent="0.2">
      <c r="Z633" s="12"/>
    </row>
    <row r="634" spans="26:26" ht="20.100000000000001" customHeight="1" x14ac:dyDescent="0.2">
      <c r="Z634" s="12"/>
    </row>
    <row r="635" spans="26:26" ht="20.100000000000001" customHeight="1" x14ac:dyDescent="0.2">
      <c r="Z635" s="12"/>
    </row>
    <row r="636" spans="26:26" ht="20.100000000000001" customHeight="1" x14ac:dyDescent="0.2">
      <c r="Z636" s="12"/>
    </row>
    <row r="637" spans="26:26" ht="20.100000000000001" customHeight="1" x14ac:dyDescent="0.2">
      <c r="Z637" s="12"/>
    </row>
    <row r="638" spans="26:26" ht="20.100000000000001" customHeight="1" x14ac:dyDescent="0.2">
      <c r="Z638" s="12"/>
    </row>
    <row r="639" spans="26:26" ht="20.100000000000001" customHeight="1" x14ac:dyDescent="0.2">
      <c r="Z639" s="12"/>
    </row>
    <row r="640" spans="26:26" ht="20.100000000000001" customHeight="1" x14ac:dyDescent="0.2">
      <c r="Z640" s="12"/>
    </row>
    <row r="641" spans="26:26" ht="20.100000000000001" customHeight="1" x14ac:dyDescent="0.2">
      <c r="Z641" s="12"/>
    </row>
    <row r="642" spans="26:26" ht="20.100000000000001" customHeight="1" x14ac:dyDescent="0.2">
      <c r="Z642" s="12"/>
    </row>
    <row r="643" spans="26:26" ht="20.100000000000001" customHeight="1" x14ac:dyDescent="0.2">
      <c r="Z643" s="12"/>
    </row>
    <row r="644" spans="26:26" ht="20.100000000000001" customHeight="1" x14ac:dyDescent="0.2">
      <c r="Z644" s="12"/>
    </row>
    <row r="645" spans="26:26" ht="20.100000000000001" customHeight="1" x14ac:dyDescent="0.2">
      <c r="Z645" s="12"/>
    </row>
    <row r="646" spans="26:26" ht="20.100000000000001" customHeight="1" x14ac:dyDescent="0.2">
      <c r="Z646" s="12"/>
    </row>
    <row r="647" spans="26:26" ht="20.100000000000001" customHeight="1" x14ac:dyDescent="0.2">
      <c r="Z647" s="12"/>
    </row>
    <row r="648" spans="26:26" ht="20.100000000000001" customHeight="1" x14ac:dyDescent="0.2">
      <c r="Z648" s="12"/>
    </row>
    <row r="649" spans="26:26" ht="20.100000000000001" customHeight="1" x14ac:dyDescent="0.2">
      <c r="Z649" s="12"/>
    </row>
    <row r="650" spans="26:26" ht="20.100000000000001" customHeight="1" x14ac:dyDescent="0.2">
      <c r="Z650" s="12"/>
    </row>
    <row r="651" spans="26:26" ht="20.100000000000001" customHeight="1" x14ac:dyDescent="0.2">
      <c r="Z651" s="12"/>
    </row>
    <row r="652" spans="26:26" ht="20.100000000000001" customHeight="1" x14ac:dyDescent="0.2">
      <c r="Z652" s="12"/>
    </row>
    <row r="653" spans="26:26" ht="20.100000000000001" customHeight="1" x14ac:dyDescent="0.2">
      <c r="Z653" s="12"/>
    </row>
    <row r="654" spans="26:26" ht="20.100000000000001" customHeight="1" x14ac:dyDescent="0.2">
      <c r="Z654" s="12"/>
    </row>
    <row r="655" spans="26:26" ht="20.100000000000001" customHeight="1" x14ac:dyDescent="0.2">
      <c r="Z655" s="12"/>
    </row>
    <row r="656" spans="26:26" ht="20.100000000000001" customHeight="1" x14ac:dyDescent="0.2">
      <c r="Z656" s="12"/>
    </row>
    <row r="657" spans="26:26" ht="20.100000000000001" customHeight="1" x14ac:dyDescent="0.2">
      <c r="Z657" s="12"/>
    </row>
    <row r="658" spans="26:26" ht="20.100000000000001" customHeight="1" x14ac:dyDescent="0.2">
      <c r="Z658" s="12"/>
    </row>
    <row r="659" spans="26:26" ht="20.100000000000001" customHeight="1" x14ac:dyDescent="0.2">
      <c r="Z659" s="12"/>
    </row>
    <row r="660" spans="26:26" ht="20.100000000000001" customHeight="1" x14ac:dyDescent="0.2">
      <c r="Z660" s="12"/>
    </row>
    <row r="661" spans="26:26" ht="20.100000000000001" customHeight="1" x14ac:dyDescent="0.2">
      <c r="Z661" s="12"/>
    </row>
    <row r="662" spans="26:26" ht="20.100000000000001" customHeight="1" x14ac:dyDescent="0.2">
      <c r="Z662" s="12"/>
    </row>
    <row r="663" spans="26:26" ht="20.100000000000001" customHeight="1" x14ac:dyDescent="0.2">
      <c r="Z663" s="12"/>
    </row>
    <row r="664" spans="26:26" ht="20.100000000000001" customHeight="1" x14ac:dyDescent="0.2">
      <c r="Z664" s="12"/>
    </row>
    <row r="665" spans="26:26" ht="20.100000000000001" customHeight="1" x14ac:dyDescent="0.2">
      <c r="Z665" s="12"/>
    </row>
    <row r="666" spans="26:26" ht="20.100000000000001" customHeight="1" x14ac:dyDescent="0.2">
      <c r="Z666" s="12"/>
    </row>
    <row r="667" spans="26:26" ht="20.100000000000001" customHeight="1" x14ac:dyDescent="0.2">
      <c r="Z667" s="12"/>
    </row>
    <row r="668" spans="26:26" ht="20.100000000000001" customHeight="1" x14ac:dyDescent="0.2">
      <c r="Z668" s="12"/>
    </row>
    <row r="669" spans="26:26" ht="20.100000000000001" customHeight="1" x14ac:dyDescent="0.2">
      <c r="Z669" s="12"/>
    </row>
    <row r="670" spans="26:26" ht="20.100000000000001" customHeight="1" x14ac:dyDescent="0.2">
      <c r="Z670" s="12"/>
    </row>
    <row r="671" spans="26:26" ht="20.100000000000001" customHeight="1" x14ac:dyDescent="0.2">
      <c r="Z671" s="12"/>
    </row>
    <row r="672" spans="26:26" ht="20.100000000000001" customHeight="1" x14ac:dyDescent="0.2">
      <c r="Z672" s="12"/>
    </row>
    <row r="673" spans="26:26" ht="20.100000000000001" customHeight="1" x14ac:dyDescent="0.2">
      <c r="Z673" s="12"/>
    </row>
    <row r="674" spans="26:26" ht="20.100000000000001" customHeight="1" x14ac:dyDescent="0.2">
      <c r="Z674" s="12"/>
    </row>
    <row r="675" spans="26:26" ht="20.100000000000001" customHeight="1" x14ac:dyDescent="0.2">
      <c r="Z675" s="12"/>
    </row>
    <row r="676" spans="26:26" ht="20.100000000000001" customHeight="1" x14ac:dyDescent="0.2">
      <c r="Z676" s="12"/>
    </row>
    <row r="677" spans="26:26" ht="20.100000000000001" customHeight="1" x14ac:dyDescent="0.2">
      <c r="Z677" s="12"/>
    </row>
    <row r="678" spans="26:26" ht="20.100000000000001" customHeight="1" x14ac:dyDescent="0.2">
      <c r="Z678" s="12"/>
    </row>
    <row r="679" spans="26:26" ht="20.100000000000001" customHeight="1" x14ac:dyDescent="0.2">
      <c r="Z679" s="12"/>
    </row>
    <row r="680" spans="26:26" ht="20.100000000000001" customHeight="1" x14ac:dyDescent="0.2">
      <c r="Z680" s="12"/>
    </row>
    <row r="681" spans="26:26" ht="20.100000000000001" customHeight="1" x14ac:dyDescent="0.2">
      <c r="Z681" s="12"/>
    </row>
    <row r="682" spans="26:26" ht="20.100000000000001" customHeight="1" x14ac:dyDescent="0.2">
      <c r="Z682" s="12"/>
    </row>
    <row r="683" spans="26:26" ht="20.100000000000001" customHeight="1" x14ac:dyDescent="0.2">
      <c r="Z683" s="12"/>
    </row>
    <row r="684" spans="26:26" ht="20.100000000000001" customHeight="1" x14ac:dyDescent="0.2">
      <c r="Z684" s="12"/>
    </row>
    <row r="685" spans="26:26" ht="20.100000000000001" customHeight="1" x14ac:dyDescent="0.2">
      <c r="Z685" s="12"/>
    </row>
    <row r="686" spans="26:26" ht="20.100000000000001" customHeight="1" x14ac:dyDescent="0.2">
      <c r="Z686" s="12"/>
    </row>
    <row r="687" spans="26:26" ht="20.100000000000001" customHeight="1" x14ac:dyDescent="0.2">
      <c r="Z687" s="12"/>
    </row>
    <row r="688" spans="26:26" ht="20.100000000000001" customHeight="1" x14ac:dyDescent="0.2">
      <c r="Z688" s="12"/>
    </row>
    <row r="689" spans="26:26" ht="20.100000000000001" customHeight="1" x14ac:dyDescent="0.2">
      <c r="Z689" s="12"/>
    </row>
    <row r="690" spans="26:26" ht="20.100000000000001" customHeight="1" x14ac:dyDescent="0.2">
      <c r="Z690" s="12"/>
    </row>
    <row r="691" spans="26:26" ht="20.100000000000001" customHeight="1" x14ac:dyDescent="0.2">
      <c r="Z691" s="12"/>
    </row>
    <row r="692" spans="26:26" ht="20.100000000000001" customHeight="1" x14ac:dyDescent="0.2">
      <c r="Z692" s="12"/>
    </row>
    <row r="693" spans="26:26" ht="20.100000000000001" customHeight="1" x14ac:dyDescent="0.2">
      <c r="Z693" s="12"/>
    </row>
    <row r="694" spans="26:26" ht="20.100000000000001" customHeight="1" x14ac:dyDescent="0.2">
      <c r="Z694" s="12"/>
    </row>
    <row r="695" spans="26:26" ht="20.100000000000001" customHeight="1" x14ac:dyDescent="0.2">
      <c r="Z695" s="12"/>
    </row>
    <row r="696" spans="26:26" ht="20.100000000000001" customHeight="1" x14ac:dyDescent="0.2">
      <c r="Z696" s="12"/>
    </row>
    <row r="697" spans="26:26" ht="20.100000000000001" customHeight="1" x14ac:dyDescent="0.2">
      <c r="Z697" s="12"/>
    </row>
    <row r="698" spans="26:26" ht="20.100000000000001" customHeight="1" x14ac:dyDescent="0.2">
      <c r="Z698" s="12"/>
    </row>
    <row r="699" spans="26:26" ht="20.100000000000001" customHeight="1" x14ac:dyDescent="0.2">
      <c r="Z699" s="12"/>
    </row>
    <row r="700" spans="26:26" ht="20.100000000000001" customHeight="1" x14ac:dyDescent="0.2">
      <c r="Z700" s="12"/>
    </row>
    <row r="701" spans="26:26" ht="20.100000000000001" customHeight="1" x14ac:dyDescent="0.2">
      <c r="Z701" s="12"/>
    </row>
    <row r="702" spans="26:26" ht="20.100000000000001" customHeight="1" x14ac:dyDescent="0.2">
      <c r="Z702" s="12"/>
    </row>
    <row r="703" spans="26:26" ht="20.100000000000001" customHeight="1" x14ac:dyDescent="0.2">
      <c r="Z703" s="12"/>
    </row>
    <row r="704" spans="26:26" ht="20.100000000000001" customHeight="1" x14ac:dyDescent="0.2">
      <c r="Z704" s="12"/>
    </row>
    <row r="705" spans="26:26" ht="20.100000000000001" customHeight="1" x14ac:dyDescent="0.2">
      <c r="Z705" s="12"/>
    </row>
    <row r="706" spans="26:26" ht="20.100000000000001" customHeight="1" x14ac:dyDescent="0.2">
      <c r="Z706" s="12"/>
    </row>
    <row r="707" spans="26:26" ht="20.100000000000001" customHeight="1" x14ac:dyDescent="0.2">
      <c r="Z707" s="12"/>
    </row>
    <row r="708" spans="26:26" ht="20.100000000000001" customHeight="1" x14ac:dyDescent="0.2">
      <c r="Z708" s="12"/>
    </row>
    <row r="709" spans="26:26" ht="20.100000000000001" customHeight="1" x14ac:dyDescent="0.2">
      <c r="Z709" s="12"/>
    </row>
    <row r="710" spans="26:26" ht="20.100000000000001" customHeight="1" x14ac:dyDescent="0.2">
      <c r="Z710" s="12"/>
    </row>
    <row r="711" spans="26:26" ht="20.100000000000001" customHeight="1" x14ac:dyDescent="0.2">
      <c r="Z711" s="12"/>
    </row>
    <row r="712" spans="26:26" ht="20.100000000000001" customHeight="1" x14ac:dyDescent="0.2">
      <c r="Z712" s="12"/>
    </row>
    <row r="713" spans="26:26" ht="20.100000000000001" customHeight="1" x14ac:dyDescent="0.2">
      <c r="Z713" s="12"/>
    </row>
    <row r="714" spans="26:26" ht="20.100000000000001" customHeight="1" x14ac:dyDescent="0.2">
      <c r="Z714" s="12"/>
    </row>
    <row r="715" spans="26:26" ht="20.100000000000001" customHeight="1" x14ac:dyDescent="0.2">
      <c r="Z715" s="12"/>
    </row>
    <row r="716" spans="26:26" ht="20.100000000000001" customHeight="1" x14ac:dyDescent="0.2">
      <c r="Z716" s="12"/>
    </row>
    <row r="717" spans="26:26" ht="20.100000000000001" customHeight="1" x14ac:dyDescent="0.2">
      <c r="Z717" s="12"/>
    </row>
    <row r="718" spans="26:26" ht="20.100000000000001" customHeight="1" x14ac:dyDescent="0.2">
      <c r="Z718" s="12"/>
    </row>
    <row r="719" spans="26:26" ht="20.100000000000001" customHeight="1" x14ac:dyDescent="0.2">
      <c r="Z719" s="12"/>
    </row>
    <row r="720" spans="26:26" ht="20.100000000000001" customHeight="1" x14ac:dyDescent="0.2">
      <c r="Z720" s="12"/>
    </row>
    <row r="721" spans="26:26" ht="20.100000000000001" customHeight="1" x14ac:dyDescent="0.2">
      <c r="Z721" s="12"/>
    </row>
    <row r="722" spans="26:26" ht="20.100000000000001" customHeight="1" x14ac:dyDescent="0.2">
      <c r="Z722" s="12"/>
    </row>
    <row r="723" spans="26:26" ht="20.100000000000001" customHeight="1" x14ac:dyDescent="0.2">
      <c r="Z723" s="12"/>
    </row>
    <row r="724" spans="26:26" ht="20.100000000000001" customHeight="1" x14ac:dyDescent="0.2">
      <c r="Z724" s="12"/>
    </row>
    <row r="725" spans="26:26" ht="20.100000000000001" customHeight="1" x14ac:dyDescent="0.2">
      <c r="Z725" s="12"/>
    </row>
    <row r="726" spans="26:26" ht="20.100000000000001" customHeight="1" x14ac:dyDescent="0.2">
      <c r="Z726" s="12"/>
    </row>
    <row r="727" spans="26:26" ht="20.100000000000001" customHeight="1" x14ac:dyDescent="0.2">
      <c r="Z727" s="12"/>
    </row>
    <row r="728" spans="26:26" ht="20.100000000000001" customHeight="1" x14ac:dyDescent="0.2">
      <c r="Z728" s="12"/>
    </row>
    <row r="729" spans="26:26" ht="20.100000000000001" customHeight="1" x14ac:dyDescent="0.2">
      <c r="Z729" s="12"/>
    </row>
    <row r="730" spans="26:26" ht="20.100000000000001" customHeight="1" x14ac:dyDescent="0.2">
      <c r="Z730" s="12"/>
    </row>
    <row r="731" spans="26:26" ht="20.100000000000001" customHeight="1" x14ac:dyDescent="0.2">
      <c r="Z731" s="12"/>
    </row>
    <row r="732" spans="26:26" ht="20.100000000000001" customHeight="1" x14ac:dyDescent="0.2">
      <c r="Z732" s="12"/>
    </row>
    <row r="733" spans="26:26" ht="20.100000000000001" customHeight="1" x14ac:dyDescent="0.2">
      <c r="Z733" s="12"/>
    </row>
    <row r="734" spans="26:26" ht="20.100000000000001" customHeight="1" x14ac:dyDescent="0.2">
      <c r="Z734" s="12"/>
    </row>
    <row r="735" spans="26:26" ht="20.100000000000001" customHeight="1" x14ac:dyDescent="0.2">
      <c r="Z735" s="12"/>
    </row>
    <row r="736" spans="26:26" ht="20.100000000000001" customHeight="1" x14ac:dyDescent="0.2">
      <c r="Z736" s="12"/>
    </row>
    <row r="737" spans="26:26" ht="20.100000000000001" customHeight="1" x14ac:dyDescent="0.2">
      <c r="Z737" s="12"/>
    </row>
    <row r="738" spans="26:26" ht="20.100000000000001" customHeight="1" x14ac:dyDescent="0.2">
      <c r="Z738" s="12"/>
    </row>
    <row r="739" spans="26:26" ht="20.100000000000001" customHeight="1" x14ac:dyDescent="0.2">
      <c r="Z739" s="12"/>
    </row>
    <row r="740" spans="26:26" ht="20.100000000000001" customHeight="1" x14ac:dyDescent="0.2">
      <c r="Z740" s="12"/>
    </row>
    <row r="741" spans="26:26" ht="20.100000000000001" customHeight="1" x14ac:dyDescent="0.2">
      <c r="Z741" s="12"/>
    </row>
    <row r="742" spans="26:26" ht="20.100000000000001" customHeight="1" x14ac:dyDescent="0.2">
      <c r="Z742" s="12"/>
    </row>
    <row r="743" spans="26:26" ht="20.100000000000001" customHeight="1" x14ac:dyDescent="0.2">
      <c r="Z743" s="12"/>
    </row>
    <row r="744" spans="26:26" ht="20.100000000000001" customHeight="1" x14ac:dyDescent="0.2">
      <c r="Z744" s="12"/>
    </row>
    <row r="745" spans="26:26" ht="20.100000000000001" customHeight="1" x14ac:dyDescent="0.2">
      <c r="Z745" s="12"/>
    </row>
    <row r="746" spans="26:26" ht="20.100000000000001" customHeight="1" x14ac:dyDescent="0.2">
      <c r="Z746" s="12"/>
    </row>
    <row r="747" spans="26:26" ht="20.100000000000001" customHeight="1" x14ac:dyDescent="0.2">
      <c r="Z747" s="12"/>
    </row>
    <row r="748" spans="26:26" ht="20.100000000000001" customHeight="1" x14ac:dyDescent="0.2">
      <c r="Z748" s="12"/>
    </row>
    <row r="749" spans="26:26" ht="20.100000000000001" customHeight="1" x14ac:dyDescent="0.2">
      <c r="Z749" s="12"/>
    </row>
    <row r="750" spans="26:26" ht="20.100000000000001" customHeight="1" x14ac:dyDescent="0.2">
      <c r="Z750" s="12"/>
    </row>
    <row r="751" spans="26:26" ht="20.100000000000001" customHeight="1" x14ac:dyDescent="0.2">
      <c r="Z751" s="12"/>
    </row>
    <row r="752" spans="26:26" ht="20.100000000000001" customHeight="1" x14ac:dyDescent="0.2">
      <c r="Z752" s="12"/>
    </row>
    <row r="753" spans="26:26" ht="20.100000000000001" customHeight="1" x14ac:dyDescent="0.2">
      <c r="Z753" s="12"/>
    </row>
    <row r="754" spans="26:26" ht="20.100000000000001" customHeight="1" x14ac:dyDescent="0.2">
      <c r="Z754" s="12"/>
    </row>
    <row r="755" spans="26:26" ht="20.100000000000001" customHeight="1" x14ac:dyDescent="0.2">
      <c r="Z755" s="12"/>
    </row>
    <row r="756" spans="26:26" ht="20.100000000000001" customHeight="1" x14ac:dyDescent="0.2">
      <c r="Z756" s="12"/>
    </row>
    <row r="757" spans="26:26" ht="20.100000000000001" customHeight="1" x14ac:dyDescent="0.2">
      <c r="Z757" s="12"/>
    </row>
    <row r="758" spans="26:26" ht="20.100000000000001" customHeight="1" x14ac:dyDescent="0.2">
      <c r="Z758" s="12"/>
    </row>
    <row r="759" spans="26:26" ht="20.100000000000001" customHeight="1" x14ac:dyDescent="0.2">
      <c r="Z759" s="12"/>
    </row>
    <row r="760" spans="26:26" ht="20.100000000000001" customHeight="1" x14ac:dyDescent="0.2">
      <c r="Z760" s="12"/>
    </row>
    <row r="761" spans="26:26" ht="20.100000000000001" customHeight="1" x14ac:dyDescent="0.2">
      <c r="Z761" s="12"/>
    </row>
    <row r="762" spans="26:26" ht="20.100000000000001" customHeight="1" x14ac:dyDescent="0.2">
      <c r="Z762" s="12"/>
    </row>
    <row r="763" spans="26:26" ht="20.100000000000001" customHeight="1" x14ac:dyDescent="0.2">
      <c r="Z763" s="12"/>
    </row>
    <row r="764" spans="26:26" ht="20.100000000000001" customHeight="1" x14ac:dyDescent="0.2">
      <c r="Z764" s="12"/>
    </row>
    <row r="765" spans="26:26" ht="20.100000000000001" customHeight="1" x14ac:dyDescent="0.2">
      <c r="Z765" s="12"/>
    </row>
    <row r="766" spans="26:26" ht="20.100000000000001" customHeight="1" x14ac:dyDescent="0.2">
      <c r="Z766" s="12"/>
    </row>
    <row r="767" spans="26:26" ht="20.100000000000001" customHeight="1" x14ac:dyDescent="0.2">
      <c r="Z767" s="12"/>
    </row>
    <row r="768" spans="26:26" ht="20.100000000000001" customHeight="1" x14ac:dyDescent="0.2">
      <c r="Z768" s="12"/>
    </row>
    <row r="769" spans="26:26" ht="20.100000000000001" customHeight="1" x14ac:dyDescent="0.2">
      <c r="Z769" s="12"/>
    </row>
    <row r="770" spans="26:26" ht="20.100000000000001" customHeight="1" x14ac:dyDescent="0.2">
      <c r="Z770" s="12"/>
    </row>
    <row r="771" spans="26:26" ht="20.100000000000001" customHeight="1" x14ac:dyDescent="0.2">
      <c r="Z771" s="12"/>
    </row>
    <row r="772" spans="26:26" ht="20.100000000000001" customHeight="1" x14ac:dyDescent="0.2">
      <c r="Z772" s="12"/>
    </row>
    <row r="773" spans="26:26" ht="20.100000000000001" customHeight="1" x14ac:dyDescent="0.2">
      <c r="Z773" s="12"/>
    </row>
    <row r="774" spans="26:26" ht="20.100000000000001" customHeight="1" x14ac:dyDescent="0.2">
      <c r="Z774" s="12"/>
    </row>
    <row r="775" spans="26:26" ht="20.100000000000001" customHeight="1" x14ac:dyDescent="0.2">
      <c r="Z775" s="12"/>
    </row>
    <row r="776" spans="26:26" ht="20.100000000000001" customHeight="1" x14ac:dyDescent="0.2">
      <c r="Z776" s="12"/>
    </row>
    <row r="777" spans="26:26" ht="20.100000000000001" customHeight="1" x14ac:dyDescent="0.2">
      <c r="Z777" s="12"/>
    </row>
    <row r="778" spans="26:26" ht="20.100000000000001" customHeight="1" x14ac:dyDescent="0.2">
      <c r="Z778" s="12"/>
    </row>
    <row r="779" spans="26:26" ht="20.100000000000001" customHeight="1" x14ac:dyDescent="0.2">
      <c r="Z779" s="12"/>
    </row>
    <row r="780" spans="26:26" ht="20.100000000000001" customHeight="1" x14ac:dyDescent="0.2">
      <c r="Z780" s="12"/>
    </row>
    <row r="781" spans="26:26" ht="20.100000000000001" customHeight="1" x14ac:dyDescent="0.2">
      <c r="Z781" s="12"/>
    </row>
    <row r="782" spans="26:26" ht="20.100000000000001" customHeight="1" x14ac:dyDescent="0.2">
      <c r="Z782" s="12"/>
    </row>
    <row r="783" spans="26:26" ht="20.100000000000001" customHeight="1" x14ac:dyDescent="0.2">
      <c r="Z783" s="12"/>
    </row>
    <row r="784" spans="26:26" ht="20.100000000000001" customHeight="1" x14ac:dyDescent="0.2">
      <c r="Z784" s="12"/>
    </row>
    <row r="785" spans="26:26" ht="20.100000000000001" customHeight="1" x14ac:dyDescent="0.2">
      <c r="Z785" s="12"/>
    </row>
    <row r="786" spans="26:26" ht="20.100000000000001" customHeight="1" x14ac:dyDescent="0.2">
      <c r="Z786" s="12"/>
    </row>
    <row r="787" spans="26:26" ht="20.100000000000001" customHeight="1" x14ac:dyDescent="0.2">
      <c r="Z787" s="12"/>
    </row>
    <row r="788" spans="26:26" ht="20.100000000000001" customHeight="1" x14ac:dyDescent="0.2">
      <c r="Z788" s="12"/>
    </row>
    <row r="789" spans="26:26" ht="20.100000000000001" customHeight="1" x14ac:dyDescent="0.2">
      <c r="Z789" s="12"/>
    </row>
    <row r="790" spans="26:26" ht="20.100000000000001" customHeight="1" x14ac:dyDescent="0.2">
      <c r="Z790" s="12"/>
    </row>
    <row r="791" spans="26:26" ht="20.100000000000001" customHeight="1" x14ac:dyDescent="0.2">
      <c r="Z791" s="12"/>
    </row>
    <row r="792" spans="26:26" ht="20.100000000000001" customHeight="1" x14ac:dyDescent="0.2">
      <c r="Z792" s="12"/>
    </row>
    <row r="793" spans="26:26" ht="20.100000000000001" customHeight="1" x14ac:dyDescent="0.2">
      <c r="Z793" s="12"/>
    </row>
    <row r="794" spans="26:26" ht="20.100000000000001" customHeight="1" x14ac:dyDescent="0.2">
      <c r="Z794" s="12"/>
    </row>
    <row r="795" spans="26:26" ht="20.100000000000001" customHeight="1" x14ac:dyDescent="0.2">
      <c r="Z795" s="12"/>
    </row>
    <row r="796" spans="26:26" ht="20.100000000000001" customHeight="1" x14ac:dyDescent="0.2">
      <c r="Z796" s="12"/>
    </row>
    <row r="797" spans="26:26" ht="20.100000000000001" customHeight="1" x14ac:dyDescent="0.2">
      <c r="Z797" s="12"/>
    </row>
    <row r="798" spans="26:26" ht="20.100000000000001" customHeight="1" x14ac:dyDescent="0.2">
      <c r="Z798" s="12"/>
    </row>
    <row r="799" spans="26:26" ht="20.100000000000001" customHeight="1" x14ac:dyDescent="0.2">
      <c r="Z799" s="12"/>
    </row>
    <row r="800" spans="26:26" ht="20.100000000000001" customHeight="1" x14ac:dyDescent="0.2">
      <c r="Z800" s="12"/>
    </row>
    <row r="801" spans="26:26" ht="20.100000000000001" customHeight="1" x14ac:dyDescent="0.2">
      <c r="Z801" s="12"/>
    </row>
    <row r="802" spans="26:26" ht="20.100000000000001" customHeight="1" x14ac:dyDescent="0.2">
      <c r="Z802" s="12"/>
    </row>
    <row r="803" spans="26:26" ht="20.100000000000001" customHeight="1" x14ac:dyDescent="0.2">
      <c r="Z803" s="12"/>
    </row>
    <row r="804" spans="26:26" ht="20.100000000000001" customHeight="1" x14ac:dyDescent="0.2">
      <c r="Z804" s="12"/>
    </row>
    <row r="805" spans="26:26" ht="20.100000000000001" customHeight="1" x14ac:dyDescent="0.2">
      <c r="Z805" s="12"/>
    </row>
    <row r="806" spans="26:26" ht="20.100000000000001" customHeight="1" x14ac:dyDescent="0.2">
      <c r="Z806" s="12"/>
    </row>
    <row r="807" spans="26:26" ht="20.100000000000001" customHeight="1" x14ac:dyDescent="0.2">
      <c r="Z807" s="12"/>
    </row>
    <row r="808" spans="26:26" ht="20.100000000000001" customHeight="1" x14ac:dyDescent="0.2">
      <c r="Z808" s="12"/>
    </row>
    <row r="809" spans="26:26" ht="20.100000000000001" customHeight="1" x14ac:dyDescent="0.2">
      <c r="Z809" s="12"/>
    </row>
    <row r="810" spans="26:26" ht="20.100000000000001" customHeight="1" x14ac:dyDescent="0.2">
      <c r="Z810" s="12"/>
    </row>
    <row r="811" spans="26:26" ht="20.100000000000001" customHeight="1" x14ac:dyDescent="0.2">
      <c r="Z811" s="12"/>
    </row>
    <row r="812" spans="26:26" ht="20.100000000000001" customHeight="1" x14ac:dyDescent="0.2">
      <c r="Z812" s="12"/>
    </row>
    <row r="813" spans="26:26" ht="20.100000000000001" customHeight="1" x14ac:dyDescent="0.2">
      <c r="Z813" s="12"/>
    </row>
    <row r="814" spans="26:26" ht="20.100000000000001" customHeight="1" x14ac:dyDescent="0.2">
      <c r="Z814" s="12"/>
    </row>
    <row r="815" spans="26:26" ht="20.100000000000001" customHeight="1" x14ac:dyDescent="0.2">
      <c r="Z815" s="12"/>
    </row>
    <row r="816" spans="26:26" ht="20.100000000000001" customHeight="1" x14ac:dyDescent="0.2">
      <c r="Z816" s="12"/>
    </row>
    <row r="817" spans="26:26" ht="20.100000000000001" customHeight="1" x14ac:dyDescent="0.2">
      <c r="Z817" s="12"/>
    </row>
    <row r="818" spans="26:26" ht="20.100000000000001" customHeight="1" x14ac:dyDescent="0.2">
      <c r="Z818" s="12"/>
    </row>
    <row r="819" spans="26:26" ht="20.100000000000001" customHeight="1" x14ac:dyDescent="0.2">
      <c r="Z819" s="12"/>
    </row>
    <row r="820" spans="26:26" ht="20.100000000000001" customHeight="1" x14ac:dyDescent="0.2">
      <c r="Z820" s="12"/>
    </row>
    <row r="821" spans="26:26" ht="20.100000000000001" customHeight="1" x14ac:dyDescent="0.2">
      <c r="Z821" s="12"/>
    </row>
    <row r="822" spans="26:26" ht="20.100000000000001" customHeight="1" x14ac:dyDescent="0.2">
      <c r="Z822" s="12"/>
    </row>
    <row r="823" spans="26:26" ht="20.100000000000001" customHeight="1" x14ac:dyDescent="0.2">
      <c r="Z823" s="12"/>
    </row>
    <row r="824" spans="26:26" ht="20.100000000000001" customHeight="1" x14ac:dyDescent="0.2">
      <c r="Z824" s="12"/>
    </row>
    <row r="825" spans="26:26" ht="20.100000000000001" customHeight="1" x14ac:dyDescent="0.2">
      <c r="Z825" s="12"/>
    </row>
    <row r="826" spans="26:26" ht="20.100000000000001" customHeight="1" x14ac:dyDescent="0.2">
      <c r="Z826" s="12"/>
    </row>
    <row r="827" spans="26:26" ht="20.100000000000001" customHeight="1" x14ac:dyDescent="0.2">
      <c r="Z827" s="12"/>
    </row>
    <row r="828" spans="26:26" ht="20.100000000000001" customHeight="1" x14ac:dyDescent="0.2">
      <c r="Z828" s="12"/>
    </row>
    <row r="829" spans="26:26" ht="20.100000000000001" customHeight="1" x14ac:dyDescent="0.2">
      <c r="Z829" s="12"/>
    </row>
    <row r="830" spans="26:26" ht="20.100000000000001" customHeight="1" x14ac:dyDescent="0.2">
      <c r="Z830" s="12"/>
    </row>
    <row r="831" spans="26:26" ht="20.100000000000001" customHeight="1" x14ac:dyDescent="0.2">
      <c r="Z831" s="12"/>
    </row>
    <row r="832" spans="26:26" ht="20.100000000000001" customHeight="1" x14ac:dyDescent="0.2">
      <c r="Z832" s="12"/>
    </row>
    <row r="833" spans="26:26" ht="20.100000000000001" customHeight="1" x14ac:dyDescent="0.2">
      <c r="Z833" s="12"/>
    </row>
    <row r="834" spans="26:26" ht="20.100000000000001" customHeight="1" x14ac:dyDescent="0.2">
      <c r="Z834" s="12"/>
    </row>
    <row r="835" spans="26:26" ht="20.100000000000001" customHeight="1" x14ac:dyDescent="0.2">
      <c r="Z835" s="12"/>
    </row>
    <row r="836" spans="26:26" ht="20.100000000000001" customHeight="1" x14ac:dyDescent="0.2">
      <c r="Z836" s="12"/>
    </row>
    <row r="837" spans="26:26" ht="20.100000000000001" customHeight="1" x14ac:dyDescent="0.2">
      <c r="Z837" s="12"/>
    </row>
    <row r="838" spans="26:26" ht="20.100000000000001" customHeight="1" x14ac:dyDescent="0.2">
      <c r="Z838" s="12"/>
    </row>
    <row r="839" spans="26:26" ht="20.100000000000001" customHeight="1" x14ac:dyDescent="0.2">
      <c r="Z839" s="12"/>
    </row>
    <row r="840" spans="26:26" ht="20.100000000000001" customHeight="1" x14ac:dyDescent="0.2">
      <c r="Z840" s="12"/>
    </row>
    <row r="841" spans="26:26" ht="20.100000000000001" customHeight="1" x14ac:dyDescent="0.2">
      <c r="Z841" s="12"/>
    </row>
    <row r="842" spans="26:26" ht="20.100000000000001" customHeight="1" x14ac:dyDescent="0.2">
      <c r="Z842" s="12"/>
    </row>
    <row r="843" spans="26:26" ht="20.100000000000001" customHeight="1" x14ac:dyDescent="0.2">
      <c r="Z843" s="12"/>
    </row>
    <row r="844" spans="26:26" ht="20.100000000000001" customHeight="1" x14ac:dyDescent="0.2">
      <c r="Z844" s="12"/>
    </row>
    <row r="845" spans="26:26" ht="20.100000000000001" customHeight="1" x14ac:dyDescent="0.2">
      <c r="Z845" s="12"/>
    </row>
    <row r="846" spans="26:26" ht="20.100000000000001" customHeight="1" x14ac:dyDescent="0.2">
      <c r="Z846" s="12"/>
    </row>
    <row r="847" spans="26:26" ht="20.100000000000001" customHeight="1" x14ac:dyDescent="0.2">
      <c r="Z847" s="12"/>
    </row>
    <row r="848" spans="26:26" ht="20.100000000000001" customHeight="1" x14ac:dyDescent="0.2">
      <c r="Z848" s="12"/>
    </row>
    <row r="849" spans="26:26" ht="20.100000000000001" customHeight="1" x14ac:dyDescent="0.2">
      <c r="Z849" s="12"/>
    </row>
    <row r="850" spans="26:26" ht="20.100000000000001" customHeight="1" x14ac:dyDescent="0.2">
      <c r="Z850" s="12"/>
    </row>
    <row r="851" spans="26:26" ht="20.100000000000001" customHeight="1" x14ac:dyDescent="0.2">
      <c r="Z851" s="12"/>
    </row>
    <row r="852" spans="26:26" ht="20.100000000000001" customHeight="1" x14ac:dyDescent="0.2">
      <c r="Z852" s="12"/>
    </row>
    <row r="853" spans="26:26" ht="20.100000000000001" customHeight="1" x14ac:dyDescent="0.2">
      <c r="Z853" s="12"/>
    </row>
    <row r="854" spans="26:26" ht="20.100000000000001" customHeight="1" x14ac:dyDescent="0.2">
      <c r="Z854" s="12"/>
    </row>
    <row r="855" spans="26:26" ht="20.100000000000001" customHeight="1" x14ac:dyDescent="0.2">
      <c r="Z855" s="12"/>
    </row>
    <row r="856" spans="26:26" ht="20.100000000000001" customHeight="1" x14ac:dyDescent="0.2">
      <c r="Z856" s="12"/>
    </row>
    <row r="857" spans="26:26" ht="20.100000000000001" customHeight="1" x14ac:dyDescent="0.2">
      <c r="Z857" s="12"/>
    </row>
    <row r="858" spans="26:26" ht="20.100000000000001" customHeight="1" x14ac:dyDescent="0.2">
      <c r="Z858" s="12"/>
    </row>
    <row r="859" spans="26:26" ht="20.100000000000001" customHeight="1" x14ac:dyDescent="0.2">
      <c r="Z859" s="12"/>
    </row>
    <row r="860" spans="26:26" ht="20.100000000000001" customHeight="1" x14ac:dyDescent="0.2">
      <c r="Z860" s="12"/>
    </row>
    <row r="861" spans="26:26" ht="20.100000000000001" customHeight="1" x14ac:dyDescent="0.2">
      <c r="Z861" s="12"/>
    </row>
    <row r="862" spans="26:26" ht="20.100000000000001" customHeight="1" x14ac:dyDescent="0.2">
      <c r="Z862" s="12"/>
    </row>
    <row r="863" spans="26:26" ht="20.100000000000001" customHeight="1" x14ac:dyDescent="0.2">
      <c r="Z863" s="12"/>
    </row>
    <row r="864" spans="26:26" ht="20.100000000000001" customHeight="1" x14ac:dyDescent="0.2">
      <c r="Z864" s="12"/>
    </row>
    <row r="865" spans="26:26" ht="20.100000000000001" customHeight="1" x14ac:dyDescent="0.2">
      <c r="Z865" s="12"/>
    </row>
    <row r="866" spans="26:26" ht="20.100000000000001" customHeight="1" x14ac:dyDescent="0.2">
      <c r="Z866" s="12"/>
    </row>
    <row r="867" spans="26:26" x14ac:dyDescent="0.2">
      <c r="Z867" s="12"/>
    </row>
    <row r="868" spans="26:26" x14ac:dyDescent="0.2">
      <c r="Z868" s="12"/>
    </row>
    <row r="869" spans="26:26" x14ac:dyDescent="0.2">
      <c r="Z869" s="12"/>
    </row>
    <row r="870" spans="26:26" x14ac:dyDescent="0.2">
      <c r="Z870" s="12"/>
    </row>
    <row r="871" spans="26:26" x14ac:dyDescent="0.2">
      <c r="Z871" s="12"/>
    </row>
    <row r="872" spans="26:26" x14ac:dyDescent="0.2">
      <c r="Z872" s="12"/>
    </row>
    <row r="873" spans="26:26" x14ac:dyDescent="0.2">
      <c r="Z873" s="12"/>
    </row>
    <row r="874" spans="26:26" x14ac:dyDescent="0.2">
      <c r="Z874" s="12"/>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1324-03F1-4AA9-971C-14BF77EF6FF4}">
  <dimension ref="A3:AJ55"/>
  <sheetViews>
    <sheetView rightToLeft="1" topLeftCell="K1" workbookViewId="0">
      <selection activeCell="O11" sqref="O11:P11"/>
      <pivotSelection pane="bottomRight" showHeader="1" extendable="1" start="4" max="10" activeRow="10" activeCol="14" click="1" r:id="rId8">
        <pivotArea dataOnly="0" fieldPosition="0">
          <references count="1">
            <reference field="8" count="1">
              <x v="1"/>
            </reference>
          </references>
        </pivotArea>
      </pivotSelection>
    </sheetView>
  </sheetViews>
  <sheetFormatPr defaultRowHeight="14.25" x14ac:dyDescent="0.2"/>
  <cols>
    <col min="1" max="1" width="14" bestFit="1" customWidth="1"/>
    <col min="2" max="2" width="14" customWidth="1"/>
    <col min="3" max="3" width="3.625" style="22" customWidth="1"/>
    <col min="4" max="4" width="10.125" bestFit="1" customWidth="1"/>
    <col min="5" max="5" width="12.25" customWidth="1"/>
    <col min="6" max="6" width="3.625" style="22" customWidth="1"/>
    <col min="7" max="7" width="17.625" bestFit="1" customWidth="1"/>
    <col min="8" max="8" width="17.625" customWidth="1"/>
    <col min="9" max="9" width="3.625" style="22" customWidth="1"/>
    <col min="10" max="10" width="11.375" bestFit="1" customWidth="1"/>
    <col min="11" max="11" width="10.125" bestFit="1" customWidth="1"/>
    <col min="12" max="12" width="12.25" bestFit="1" customWidth="1"/>
    <col min="13" max="13" width="10.125" customWidth="1"/>
    <col min="14" max="14" width="3.625" style="22" customWidth="1"/>
    <col min="15" max="15" width="11.375" bestFit="1" customWidth="1"/>
    <col min="16" max="16" width="12.75" bestFit="1" customWidth="1"/>
    <col min="17" max="17" width="12.75" customWidth="1"/>
    <col min="18" max="18" width="3.625" style="22" customWidth="1"/>
    <col min="19" max="19" width="11.375" bestFit="1" customWidth="1"/>
    <col min="20" max="20" width="17.125" bestFit="1" customWidth="1"/>
    <col min="21" max="21" width="12.75" customWidth="1"/>
    <col min="22" max="22" width="3.625" style="22" customWidth="1"/>
    <col min="23" max="23" width="11.375" bestFit="1" customWidth="1"/>
    <col min="24" max="24" width="23.625" bestFit="1" customWidth="1"/>
    <col min="25" max="25" width="12.75" customWidth="1"/>
    <col min="26" max="26" width="3.625" style="22" customWidth="1"/>
    <col min="27" max="27" width="11.375" bestFit="1" customWidth="1"/>
    <col min="28" max="29" width="12.75" bestFit="1" customWidth="1"/>
    <col min="30" max="30" width="3.625" style="22" customWidth="1"/>
    <col min="31" max="31" width="11.375" bestFit="1" customWidth="1"/>
    <col min="32" max="33" width="14.75" bestFit="1" customWidth="1"/>
    <col min="34" max="34" width="3.625" style="22" customWidth="1"/>
    <col min="35" max="35" width="11.375" bestFit="1" customWidth="1"/>
    <col min="36" max="36" width="14.5" bestFit="1" customWidth="1"/>
    <col min="37" max="37" width="15.625" bestFit="1" customWidth="1"/>
  </cols>
  <sheetData>
    <row r="3" spans="1:36" x14ac:dyDescent="0.2">
      <c r="A3" t="s">
        <v>278</v>
      </c>
      <c r="D3" t="s">
        <v>279</v>
      </c>
      <c r="G3" t="s">
        <v>280</v>
      </c>
      <c r="J3" t="s">
        <v>281</v>
      </c>
      <c r="O3" t="s">
        <v>325</v>
      </c>
      <c r="S3" t="s">
        <v>286</v>
      </c>
      <c r="W3" t="s">
        <v>313</v>
      </c>
      <c r="AA3" t="s">
        <v>289</v>
      </c>
      <c r="AE3" t="s">
        <v>327</v>
      </c>
      <c r="AI3" t="s">
        <v>288</v>
      </c>
    </row>
    <row r="6" spans="1:36" x14ac:dyDescent="0.2">
      <c r="A6" t="s">
        <v>308</v>
      </c>
      <c r="D6" t="s">
        <v>324</v>
      </c>
      <c r="G6" t="s">
        <v>310</v>
      </c>
      <c r="J6" s="18" t="s">
        <v>306</v>
      </c>
      <c r="K6" t="s">
        <v>324</v>
      </c>
      <c r="O6" s="18" t="s">
        <v>306</v>
      </c>
      <c r="P6" t="s">
        <v>309</v>
      </c>
      <c r="S6" s="18" t="s">
        <v>306</v>
      </c>
      <c r="T6" t="s">
        <v>311</v>
      </c>
      <c r="W6" s="18" t="s">
        <v>306</v>
      </c>
      <c r="X6" t="s">
        <v>316</v>
      </c>
      <c r="AA6" s="18" t="s">
        <v>306</v>
      </c>
      <c r="AB6" t="s">
        <v>317</v>
      </c>
      <c r="AE6" s="18" t="s">
        <v>306</v>
      </c>
      <c r="AF6" t="s">
        <v>318</v>
      </c>
      <c r="AI6" s="18" t="s">
        <v>306</v>
      </c>
      <c r="AJ6" t="s">
        <v>322</v>
      </c>
    </row>
    <row r="7" spans="1:36" x14ac:dyDescent="0.2">
      <c r="A7" s="20">
        <v>1292885.81544</v>
      </c>
      <c r="B7" s="20"/>
      <c r="D7" s="20">
        <v>152</v>
      </c>
      <c r="G7" s="20">
        <v>10260.998535238095</v>
      </c>
      <c r="H7" s="20"/>
      <c r="J7" s="19" t="s">
        <v>184</v>
      </c>
      <c r="K7" s="20">
        <v>4</v>
      </c>
      <c r="O7" s="19" t="s">
        <v>136</v>
      </c>
      <c r="P7" s="20">
        <v>83</v>
      </c>
      <c r="Q7" s="20"/>
      <c r="S7" s="19" t="s">
        <v>150</v>
      </c>
      <c r="T7" s="20">
        <v>37</v>
      </c>
      <c r="U7" s="20"/>
      <c r="W7" s="19">
        <v>-67</v>
      </c>
      <c r="X7" s="24">
        <v>8.130081300813009E-3</v>
      </c>
      <c r="Y7" s="20"/>
      <c r="AA7" s="19" t="s">
        <v>172</v>
      </c>
      <c r="AB7" s="24">
        <v>0.80952380952380953</v>
      </c>
      <c r="AE7" s="19" t="s">
        <v>303</v>
      </c>
      <c r="AF7" s="20">
        <v>60</v>
      </c>
      <c r="AI7" s="19" t="s">
        <v>319</v>
      </c>
      <c r="AJ7" s="20">
        <v>73</v>
      </c>
    </row>
    <row r="8" spans="1:36" x14ac:dyDescent="0.2">
      <c r="J8" s="19" t="s">
        <v>46</v>
      </c>
      <c r="K8" s="20">
        <v>19</v>
      </c>
      <c r="M8" s="21"/>
      <c r="O8" s="19" t="s">
        <v>146</v>
      </c>
      <c r="P8" s="20">
        <v>16</v>
      </c>
      <c r="Q8" s="20"/>
      <c r="S8" s="19" t="s">
        <v>153</v>
      </c>
      <c r="T8" s="20">
        <v>3</v>
      </c>
      <c r="U8" s="20"/>
      <c r="W8" s="19">
        <v>-59</v>
      </c>
      <c r="X8" s="24">
        <v>8.130081300813009E-3</v>
      </c>
      <c r="Y8" s="20"/>
      <c r="AA8" s="19" t="s">
        <v>181</v>
      </c>
      <c r="AB8" s="24">
        <v>7.9365079365079361E-3</v>
      </c>
      <c r="AE8" s="19" t="s">
        <v>299</v>
      </c>
      <c r="AF8" s="20">
        <v>24</v>
      </c>
      <c r="AI8" s="19" t="s">
        <v>320</v>
      </c>
      <c r="AJ8" s="20">
        <v>4</v>
      </c>
    </row>
    <row r="9" spans="1:36" x14ac:dyDescent="0.2">
      <c r="A9" s="21">
        <f>GETPIVOTDATA("سعر البيع ",$A$6)</f>
        <v>1292885.81544</v>
      </c>
      <c r="B9" s="21"/>
      <c r="D9">
        <f>+GETPIVOTDATA("كمية",$D$6)</f>
        <v>152</v>
      </c>
      <c r="G9" s="21">
        <f>GETPIVOTDATA("سعر البيع ",$G$6)</f>
        <v>10260.998535238095</v>
      </c>
      <c r="H9" s="21"/>
      <c r="J9" s="19" t="s">
        <v>33</v>
      </c>
      <c r="K9" s="20">
        <v>13</v>
      </c>
      <c r="O9" s="19" t="s">
        <v>250</v>
      </c>
      <c r="P9" s="20">
        <v>15</v>
      </c>
      <c r="S9" s="19" t="s">
        <v>189</v>
      </c>
      <c r="T9" s="20">
        <v>1</v>
      </c>
      <c r="W9" s="19">
        <v>-50</v>
      </c>
      <c r="X9" s="24">
        <v>8.130081300813009E-3</v>
      </c>
      <c r="AA9" s="19" t="s">
        <v>326</v>
      </c>
      <c r="AB9" s="24">
        <v>0.18253968253968253</v>
      </c>
      <c r="AE9" s="19" t="s">
        <v>304</v>
      </c>
      <c r="AF9" s="20">
        <v>11</v>
      </c>
      <c r="AI9" s="19" t="s">
        <v>307</v>
      </c>
      <c r="AJ9" s="20">
        <v>77</v>
      </c>
    </row>
    <row r="10" spans="1:36" x14ac:dyDescent="0.2">
      <c r="J10" s="19" t="s">
        <v>42</v>
      </c>
      <c r="K10" s="20">
        <v>16</v>
      </c>
      <c r="O10" s="19" t="s">
        <v>230</v>
      </c>
      <c r="P10" s="20">
        <v>5</v>
      </c>
      <c r="S10" s="19" t="s">
        <v>151</v>
      </c>
      <c r="T10" s="20">
        <v>36</v>
      </c>
      <c r="W10" s="19">
        <v>-45</v>
      </c>
      <c r="X10" s="24">
        <v>4.065040650406504E-2</v>
      </c>
      <c r="AA10" s="19" t="s">
        <v>307</v>
      </c>
      <c r="AB10" s="23">
        <v>1</v>
      </c>
      <c r="AE10" s="19" t="s">
        <v>184</v>
      </c>
      <c r="AF10" s="20">
        <v>8</v>
      </c>
    </row>
    <row r="11" spans="1:36" x14ac:dyDescent="0.2">
      <c r="J11" s="19" t="s">
        <v>241</v>
      </c>
      <c r="K11" s="20">
        <v>3</v>
      </c>
      <c r="O11" s="19" t="s">
        <v>259</v>
      </c>
      <c r="P11" s="20">
        <v>2</v>
      </c>
      <c r="S11" s="19" t="s">
        <v>180</v>
      </c>
      <c r="T11" s="20">
        <v>9</v>
      </c>
      <c r="W11" s="19">
        <v>-43</v>
      </c>
      <c r="X11" s="24">
        <v>8.130081300813009E-3</v>
      </c>
      <c r="AE11" s="19" t="s">
        <v>300</v>
      </c>
      <c r="AF11" s="20">
        <v>5</v>
      </c>
    </row>
    <row r="12" spans="1:36" x14ac:dyDescent="0.2">
      <c r="J12" s="19" t="s">
        <v>235</v>
      </c>
      <c r="K12" s="20">
        <v>1</v>
      </c>
      <c r="O12" s="19" t="s">
        <v>149</v>
      </c>
      <c r="P12" s="20">
        <v>2</v>
      </c>
      <c r="S12" s="19" t="s">
        <v>175</v>
      </c>
      <c r="T12" s="20">
        <v>2</v>
      </c>
      <c r="W12" s="19">
        <v>-42</v>
      </c>
      <c r="X12" s="24">
        <v>8.130081300813009E-3</v>
      </c>
      <c r="AE12" s="19" t="s">
        <v>302</v>
      </c>
      <c r="AF12" s="20">
        <v>3</v>
      </c>
    </row>
    <row r="13" spans="1:36" x14ac:dyDescent="0.2">
      <c r="J13" s="19" t="s">
        <v>223</v>
      </c>
      <c r="K13" s="20">
        <v>2</v>
      </c>
      <c r="O13" s="19" t="s">
        <v>143</v>
      </c>
      <c r="P13" s="20">
        <v>1</v>
      </c>
      <c r="S13" s="19" t="s">
        <v>214</v>
      </c>
      <c r="T13" s="20">
        <v>3</v>
      </c>
      <c r="W13" s="19">
        <v>-35</v>
      </c>
      <c r="X13" s="24">
        <v>2.4390243902439025E-2</v>
      </c>
      <c r="AB13" s="25">
        <f>GETPIVOTDATA("الحالة",$AA$6,"الحالة","مرفوض")</f>
        <v>0.18253968253968253</v>
      </c>
      <c r="AE13" s="19" t="s">
        <v>301</v>
      </c>
      <c r="AF13" s="20">
        <v>2</v>
      </c>
    </row>
    <row r="14" spans="1:36" x14ac:dyDescent="0.2">
      <c r="J14" s="19" t="s">
        <v>6</v>
      </c>
      <c r="K14" s="20">
        <v>94</v>
      </c>
      <c r="M14" s="21"/>
      <c r="O14" s="19" t="s">
        <v>191</v>
      </c>
      <c r="P14" s="20">
        <v>1</v>
      </c>
      <c r="S14" s="19" t="s">
        <v>156</v>
      </c>
      <c r="T14" s="20">
        <v>2</v>
      </c>
      <c r="W14" s="19">
        <v>-34</v>
      </c>
      <c r="X14" s="24">
        <v>8.130081300813009E-3</v>
      </c>
      <c r="AE14" s="19" t="s">
        <v>305</v>
      </c>
      <c r="AF14" s="20">
        <v>1</v>
      </c>
    </row>
    <row r="15" spans="1:36" x14ac:dyDescent="0.2">
      <c r="J15" s="19" t="s">
        <v>307</v>
      </c>
      <c r="K15" s="20">
        <v>152</v>
      </c>
      <c r="O15" s="19" t="s">
        <v>147</v>
      </c>
      <c r="P15" s="20">
        <v>1</v>
      </c>
      <c r="S15" s="19" t="s">
        <v>203</v>
      </c>
      <c r="T15" s="20">
        <v>2</v>
      </c>
      <c r="W15" s="19">
        <v>-32</v>
      </c>
      <c r="X15" s="24">
        <v>8.130081300813009E-3</v>
      </c>
      <c r="AE15" s="19" t="s">
        <v>312</v>
      </c>
      <c r="AF15" s="20"/>
    </row>
    <row r="16" spans="1:36" x14ac:dyDescent="0.2">
      <c r="K16" s="19"/>
      <c r="O16" s="19" t="s">
        <v>307</v>
      </c>
      <c r="P16" s="20">
        <v>126</v>
      </c>
      <c r="S16" s="19" t="s">
        <v>159</v>
      </c>
      <c r="T16" s="20">
        <v>2</v>
      </c>
      <c r="W16" s="19">
        <v>-31</v>
      </c>
      <c r="X16" s="24">
        <v>8.130081300813009E-3</v>
      </c>
      <c r="AE16" s="19" t="s">
        <v>307</v>
      </c>
      <c r="AF16" s="20">
        <v>114</v>
      </c>
    </row>
    <row r="17" spans="11:32" x14ac:dyDescent="0.2">
      <c r="S17" s="19" t="s">
        <v>155</v>
      </c>
      <c r="T17" s="20">
        <v>8</v>
      </c>
      <c r="W17" s="19">
        <v>-24</v>
      </c>
      <c r="X17" s="24">
        <v>8.130081300813009E-3</v>
      </c>
    </row>
    <row r="18" spans="11:32" x14ac:dyDescent="0.2">
      <c r="O18" t="str">
        <f>O7</f>
        <v>سرير</v>
      </c>
      <c r="P18">
        <f>GETPIVOTDATA("المنتج",$O$6,"المنتج","سرير")</f>
        <v>83</v>
      </c>
      <c r="S18" s="19" t="s">
        <v>186</v>
      </c>
      <c r="T18" s="20">
        <v>1</v>
      </c>
      <c r="W18" s="19">
        <v>-21</v>
      </c>
      <c r="X18" s="24">
        <v>8.130081300813009E-3</v>
      </c>
      <c r="AF18" t="str">
        <f>AE7</f>
        <v>القاهرة</v>
      </c>
    </row>
    <row r="19" spans="11:32" x14ac:dyDescent="0.2">
      <c r="S19" s="19" t="s">
        <v>192</v>
      </c>
      <c r="T19" s="20">
        <v>1</v>
      </c>
      <c r="W19" s="19">
        <v>-19</v>
      </c>
      <c r="X19" s="24">
        <v>2.4390243902439025E-2</v>
      </c>
    </row>
    <row r="20" spans="11:32" x14ac:dyDescent="0.2">
      <c r="L20" s="21"/>
      <c r="M20" s="21"/>
      <c r="S20" s="19" t="s">
        <v>312</v>
      </c>
      <c r="T20" s="20"/>
      <c r="W20" s="19">
        <v>-18</v>
      </c>
      <c r="X20" s="24">
        <v>8.130081300813009E-3</v>
      </c>
    </row>
    <row r="21" spans="11:32" x14ac:dyDescent="0.2">
      <c r="S21" s="19" t="s">
        <v>307</v>
      </c>
      <c r="T21" s="20">
        <v>107</v>
      </c>
      <c r="W21" s="19">
        <v>-17</v>
      </c>
      <c r="X21" s="24">
        <v>1.6260162601626018E-2</v>
      </c>
    </row>
    <row r="22" spans="11:32" x14ac:dyDescent="0.2">
      <c r="K22" s="19"/>
      <c r="W22" s="19">
        <v>-16</v>
      </c>
      <c r="X22" s="24">
        <v>2.4390243902439025E-2</v>
      </c>
    </row>
    <row r="23" spans="11:32" x14ac:dyDescent="0.2">
      <c r="S23" t="str">
        <f>S7</f>
        <v>ابيض</v>
      </c>
      <c r="T23">
        <f>GETPIVOTDATA("اللون المعدن",$S$6,"اللون المعدن","ابيض")</f>
        <v>37</v>
      </c>
      <c r="W23" s="19">
        <v>-15</v>
      </c>
      <c r="X23" s="24">
        <v>3.2520325203252036E-2</v>
      </c>
    </row>
    <row r="24" spans="11:32" x14ac:dyDescent="0.2">
      <c r="W24" s="19">
        <v>-14</v>
      </c>
      <c r="X24" s="24">
        <v>4.878048780487805E-2</v>
      </c>
    </row>
    <row r="25" spans="11:32" x14ac:dyDescent="0.2">
      <c r="W25" s="19">
        <v>-12</v>
      </c>
      <c r="X25" s="24">
        <v>2.4390243902439025E-2</v>
      </c>
    </row>
    <row r="26" spans="11:32" x14ac:dyDescent="0.2">
      <c r="L26" s="21"/>
      <c r="M26" s="21"/>
      <c r="W26" s="19">
        <v>-11</v>
      </c>
      <c r="X26" s="24">
        <v>8.130081300813009E-3</v>
      </c>
    </row>
    <row r="27" spans="11:32" x14ac:dyDescent="0.2">
      <c r="W27" s="19">
        <v>-10</v>
      </c>
      <c r="X27" s="24">
        <v>1.6260162601626018E-2</v>
      </c>
    </row>
    <row r="28" spans="11:32" x14ac:dyDescent="0.2">
      <c r="K28" s="19"/>
      <c r="W28" s="19">
        <v>-9</v>
      </c>
      <c r="X28" s="24">
        <v>1.6260162601626018E-2</v>
      </c>
    </row>
    <row r="29" spans="11:32" x14ac:dyDescent="0.2">
      <c r="W29" s="19">
        <v>-8</v>
      </c>
      <c r="X29" s="24">
        <v>1.6260162601626018E-2</v>
      </c>
    </row>
    <row r="30" spans="11:32" x14ac:dyDescent="0.2">
      <c r="W30" s="19">
        <v>-7</v>
      </c>
      <c r="X30" s="24">
        <v>8.130081300813009E-3</v>
      </c>
    </row>
    <row r="31" spans="11:32" x14ac:dyDescent="0.2">
      <c r="W31" s="19">
        <v>-5</v>
      </c>
      <c r="X31" s="24">
        <v>1.6260162601626018E-2</v>
      </c>
    </row>
    <row r="32" spans="11:32" x14ac:dyDescent="0.2">
      <c r="L32" s="21"/>
      <c r="M32" s="21"/>
      <c r="W32" s="19">
        <v>-4</v>
      </c>
      <c r="X32" s="24">
        <v>8.130081300813009E-3</v>
      </c>
    </row>
    <row r="33" spans="11:24" x14ac:dyDescent="0.2">
      <c r="W33" s="19">
        <v>-3</v>
      </c>
      <c r="X33" s="24">
        <v>1.6260162601626018E-2</v>
      </c>
    </row>
    <row r="34" spans="11:24" x14ac:dyDescent="0.2">
      <c r="K34" s="19"/>
      <c r="W34" s="19">
        <v>-2</v>
      </c>
      <c r="X34" s="24">
        <v>2.4390243902439025E-2</v>
      </c>
    </row>
    <row r="35" spans="11:24" x14ac:dyDescent="0.2">
      <c r="W35" s="19">
        <v>-1</v>
      </c>
      <c r="X35" s="24">
        <v>4.878048780487805E-2</v>
      </c>
    </row>
    <row r="36" spans="11:24" x14ac:dyDescent="0.2">
      <c r="W36" s="26">
        <v>0</v>
      </c>
      <c r="X36" s="27">
        <v>4.065040650406504E-2</v>
      </c>
    </row>
    <row r="37" spans="11:24" x14ac:dyDescent="0.2">
      <c r="W37" s="19">
        <v>1</v>
      </c>
      <c r="X37" s="24">
        <v>7.3170731707317069E-2</v>
      </c>
    </row>
    <row r="38" spans="11:24" x14ac:dyDescent="0.2">
      <c r="L38" s="21"/>
      <c r="M38" s="21"/>
      <c r="W38" s="19">
        <v>2</v>
      </c>
      <c r="X38" s="24">
        <v>6.5040650406504072E-2</v>
      </c>
    </row>
    <row r="39" spans="11:24" x14ac:dyDescent="0.2">
      <c r="W39" s="19">
        <v>3</v>
      </c>
      <c r="X39" s="24">
        <v>4.065040650406504E-2</v>
      </c>
    </row>
    <row r="40" spans="11:24" x14ac:dyDescent="0.2">
      <c r="K40" s="19"/>
      <c r="W40" s="19">
        <v>4</v>
      </c>
      <c r="X40" s="24">
        <v>2.4390243902439025E-2</v>
      </c>
    </row>
    <row r="41" spans="11:24" x14ac:dyDescent="0.2">
      <c r="W41" s="19">
        <v>5</v>
      </c>
      <c r="X41" s="24">
        <v>6.5040650406504072E-2</v>
      </c>
    </row>
    <row r="42" spans="11:24" x14ac:dyDescent="0.2">
      <c r="W42" s="19">
        <v>6</v>
      </c>
      <c r="X42" s="24">
        <v>2.4390243902439025E-2</v>
      </c>
    </row>
    <row r="43" spans="11:24" x14ac:dyDescent="0.2">
      <c r="W43" s="19">
        <v>7</v>
      </c>
      <c r="X43" s="24">
        <v>3.2520325203252036E-2</v>
      </c>
    </row>
    <row r="44" spans="11:24" x14ac:dyDescent="0.2">
      <c r="L44" s="21"/>
      <c r="M44" s="21"/>
      <c r="W44" s="19">
        <v>8</v>
      </c>
      <c r="X44" s="24">
        <v>1.6260162601626018E-2</v>
      </c>
    </row>
    <row r="45" spans="11:24" x14ac:dyDescent="0.2">
      <c r="W45" s="19">
        <v>9</v>
      </c>
      <c r="X45" s="24">
        <v>3.2520325203252036E-2</v>
      </c>
    </row>
    <row r="46" spans="11:24" x14ac:dyDescent="0.2">
      <c r="K46" s="19"/>
      <c r="W46" s="19">
        <v>10</v>
      </c>
      <c r="X46" s="24">
        <v>1.6260162601626018E-2</v>
      </c>
    </row>
    <row r="47" spans="11:24" x14ac:dyDescent="0.2">
      <c r="W47" s="19">
        <v>13</v>
      </c>
      <c r="X47" s="24">
        <v>8.130081300813009E-3</v>
      </c>
    </row>
    <row r="48" spans="11:24" x14ac:dyDescent="0.2">
      <c r="W48" s="19">
        <v>14</v>
      </c>
      <c r="X48" s="24">
        <v>1.6260162601626018E-2</v>
      </c>
    </row>
    <row r="49" spans="12:24" x14ac:dyDescent="0.2">
      <c r="W49" s="19">
        <v>15</v>
      </c>
      <c r="X49" s="24">
        <v>1.6260162601626018E-2</v>
      </c>
    </row>
    <row r="50" spans="12:24" x14ac:dyDescent="0.2">
      <c r="L50" s="21"/>
      <c r="M50" s="21"/>
      <c r="W50" s="19">
        <v>16</v>
      </c>
      <c r="X50" s="24">
        <v>1.6260162601626018E-2</v>
      </c>
    </row>
    <row r="51" spans="12:24" x14ac:dyDescent="0.2">
      <c r="W51" s="19">
        <v>20</v>
      </c>
      <c r="X51" s="24">
        <v>8.130081300813009E-3</v>
      </c>
    </row>
    <row r="52" spans="12:24" x14ac:dyDescent="0.2">
      <c r="W52" s="19" t="s">
        <v>312</v>
      </c>
      <c r="X52" s="24">
        <v>0</v>
      </c>
    </row>
    <row r="53" spans="12:24" x14ac:dyDescent="0.2">
      <c r="W53" s="19" t="s">
        <v>307</v>
      </c>
      <c r="X53" s="23">
        <v>1</v>
      </c>
    </row>
    <row r="55" spans="12:24" x14ac:dyDescent="0.2">
      <c r="X55" s="25">
        <f>GETPIVOTDATA("Ontime Delivery",$W$6,"Ontime Delivery",0)</f>
        <v>4.065040650406504E-2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839CF-3156-444A-BE6D-3D823927FC66}">
  <dimension ref="A1"/>
  <sheetViews>
    <sheetView showGridLines="0" tabSelected="1" zoomScale="55" zoomScaleNormal="55" workbookViewId="0">
      <selection activeCell="G72" sqref="G72"/>
    </sheetView>
  </sheetViews>
  <sheetFormatPr defaultRowHeight="14.25" x14ac:dyDescent="0.2"/>
  <cols>
    <col min="1" max="16384" width="9" style="2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30AE95-F91E-478B-9E95-D8BA5BE724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الارشادات</vt:lpstr>
      <vt:lpstr>البيانات</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Cost Accountant</cp:lastModifiedBy>
  <dcterms:created xsi:type="dcterms:W3CDTF">2015-06-05T18:17:20Z</dcterms:created>
  <dcterms:modified xsi:type="dcterms:W3CDTF">2026-09-13T12:13:31Z</dcterms:modified>
</cp:coreProperties>
</file>